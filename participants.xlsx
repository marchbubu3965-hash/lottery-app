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nnielin/lottery_app/"/>
    </mc:Choice>
  </mc:AlternateContent>
  <xr:revisionPtr revIDLastSave="0" documentId="13_ncr:1_{0C454994-1C1A-384F-83C8-C4654C419770}" xr6:coauthVersionLast="47" xr6:coauthVersionMax="47" xr10:uidLastSave="{00000000-0000-0000-0000-000000000000}"/>
  <bookViews>
    <workbookView xWindow="8320" yWindow="1380" windowWidth="18760" windowHeight="17440" activeTab="5" xr2:uid="{D57FBAFD-E76B-4DA6-A563-7E3930B8E370}"/>
  </bookViews>
  <sheets>
    <sheet name="總規劃預算" sheetId="1" r:id="rId1"/>
    <sheet name="中醫所(標案)" sheetId="5" r:id="rId2"/>
    <sheet name="聯展成員" sheetId="6" r:id="rId3"/>
    <sheet name="中醫藥司" sheetId="4" r:id="rId4"/>
    <sheet name="0606中醫所(標案)_宛柔" sheetId="7" r:id="rId5"/>
    <sheet name="工作表1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8" i="7" l="1"/>
  <c r="G57" i="7"/>
  <c r="G56" i="7"/>
  <c r="H56" i="7" s="1"/>
  <c r="G55" i="7"/>
  <c r="H55" i="7" s="1"/>
  <c r="G54" i="7"/>
  <c r="G53" i="7"/>
  <c r="G52" i="7"/>
  <c r="G50" i="7"/>
  <c r="G49" i="7"/>
  <c r="G47" i="7"/>
  <c r="G46" i="7"/>
  <c r="G44" i="7"/>
  <c r="G43" i="7"/>
  <c r="G42" i="7"/>
  <c r="G41" i="7"/>
  <c r="G40" i="7"/>
  <c r="G39" i="7"/>
  <c r="G38" i="7"/>
  <c r="G36" i="7"/>
  <c r="G35" i="7"/>
  <c r="G34" i="7"/>
  <c r="G33" i="7"/>
  <c r="G32" i="7"/>
  <c r="G30" i="7"/>
  <c r="G29" i="7"/>
  <c r="H29" i="7" s="1"/>
  <c r="G28" i="7"/>
  <c r="H28" i="7" s="1"/>
  <c r="G27" i="7"/>
  <c r="G26" i="7"/>
  <c r="H26" i="7" s="1"/>
  <c r="G25" i="7"/>
  <c r="G24" i="7"/>
  <c r="G23" i="7"/>
  <c r="G22" i="7"/>
  <c r="G21" i="7"/>
  <c r="G20" i="7"/>
  <c r="G19" i="7"/>
  <c r="G18" i="7"/>
  <c r="H18" i="7" s="1"/>
  <c r="G17" i="7"/>
  <c r="H17" i="7" s="1"/>
  <c r="G16" i="7"/>
  <c r="H16" i="7" s="1"/>
  <c r="G15" i="7"/>
  <c r="F11" i="7"/>
  <c r="F59" i="7" l="1"/>
  <c r="F60" i="7"/>
  <c r="F62" i="7"/>
  <c r="H15" i="7"/>
  <c r="H59" i="7" s="1"/>
  <c r="G50" i="5"/>
  <c r="G47" i="5"/>
  <c r="G46" i="5"/>
  <c r="Q46" i="6"/>
  <c r="Q59" i="6" s="1"/>
  <c r="P47" i="6"/>
  <c r="Q47" i="6" s="1"/>
  <c r="P46" i="6"/>
  <c r="Q30" i="6"/>
  <c r="Q50" i="6"/>
  <c r="H60" i="7" l="1"/>
  <c r="H62" i="7" s="1"/>
  <c r="Q60" i="6"/>
  <c r="Q61" i="6" s="1"/>
  <c r="G30" i="5" l="1"/>
  <c r="G58" i="6"/>
  <c r="G57" i="6"/>
  <c r="G56" i="6"/>
  <c r="G55" i="6"/>
  <c r="I55" i="6" s="1"/>
  <c r="G54" i="6"/>
  <c r="G53" i="6"/>
  <c r="G52" i="6"/>
  <c r="G50" i="6"/>
  <c r="G49" i="6"/>
  <c r="G47" i="6"/>
  <c r="G46" i="6"/>
  <c r="G44" i="6"/>
  <c r="G43" i="6"/>
  <c r="G42" i="6"/>
  <c r="G41" i="6"/>
  <c r="G40" i="6"/>
  <c r="G39" i="6"/>
  <c r="G38" i="6"/>
  <c r="G36" i="6"/>
  <c r="G35" i="6"/>
  <c r="G34" i="6"/>
  <c r="G33" i="6"/>
  <c r="G32" i="6"/>
  <c r="G30" i="6"/>
  <c r="G29" i="6"/>
  <c r="I29" i="6" s="1"/>
  <c r="G28" i="6"/>
  <c r="I28" i="6" s="1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F11" i="6"/>
  <c r="G58" i="5"/>
  <c r="G57" i="5"/>
  <c r="G56" i="5"/>
  <c r="H56" i="5" s="1"/>
  <c r="G55" i="5"/>
  <c r="H55" i="5" s="1"/>
  <c r="G54" i="5"/>
  <c r="G53" i="5"/>
  <c r="G52" i="5"/>
  <c r="G49" i="5"/>
  <c r="G44" i="5"/>
  <c r="G43" i="5"/>
  <c r="G42" i="5"/>
  <c r="G41" i="5"/>
  <c r="G40" i="5"/>
  <c r="G39" i="5"/>
  <c r="G38" i="5"/>
  <c r="G36" i="5"/>
  <c r="G35" i="5"/>
  <c r="G34" i="5"/>
  <c r="G33" i="5"/>
  <c r="G32" i="5"/>
  <c r="G29" i="5"/>
  <c r="H29" i="5" s="1"/>
  <c r="G28" i="5"/>
  <c r="H28" i="5" s="1"/>
  <c r="G27" i="5"/>
  <c r="G26" i="5"/>
  <c r="H26" i="5" s="1"/>
  <c r="G25" i="5"/>
  <c r="G24" i="5"/>
  <c r="G23" i="5"/>
  <c r="G22" i="5"/>
  <c r="G21" i="5"/>
  <c r="G20" i="5"/>
  <c r="G19" i="5"/>
  <c r="G18" i="5"/>
  <c r="H18" i="5" s="1"/>
  <c r="G17" i="5"/>
  <c r="H17" i="5" s="1"/>
  <c r="G16" i="5"/>
  <c r="H16" i="5" s="1"/>
  <c r="G15" i="5"/>
  <c r="F11" i="5"/>
  <c r="F59" i="5" l="1"/>
  <c r="F60" i="5" s="1"/>
  <c r="F62" i="5" s="1"/>
  <c r="F59" i="6"/>
  <c r="I16" i="6"/>
  <c r="I17" i="6"/>
  <c r="I26" i="6"/>
  <c r="I15" i="6"/>
  <c r="I59" i="6" s="1"/>
  <c r="I18" i="6"/>
  <c r="I56" i="6"/>
  <c r="H15" i="5"/>
  <c r="H59" i="5" s="1"/>
  <c r="F60" i="6" l="1"/>
  <c r="F61" i="6" s="1"/>
  <c r="H60" i="5"/>
  <c r="H62" i="5" s="1"/>
  <c r="G58" i="1" l="1"/>
  <c r="G30" i="1"/>
  <c r="G57" i="1"/>
  <c r="G56" i="1"/>
  <c r="G55" i="1"/>
  <c r="G49" i="1"/>
  <c r="G50" i="1"/>
  <c r="G54" i="1"/>
  <c r="G47" i="1"/>
  <c r="G46" i="1"/>
  <c r="G44" i="1"/>
  <c r="G43" i="1"/>
  <c r="G42" i="1"/>
  <c r="G41" i="1"/>
  <c r="G40" i="1"/>
  <c r="G39" i="1"/>
  <c r="G38" i="1"/>
  <c r="G36" i="1"/>
  <c r="G35" i="1"/>
  <c r="G34" i="1"/>
  <c r="G33" i="1"/>
  <c r="G32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52" i="1"/>
  <c r="G53" i="1"/>
  <c r="I16" i="1" l="1"/>
  <c r="J16" i="1"/>
  <c r="I17" i="1"/>
  <c r="J17" i="1"/>
  <c r="I55" i="1"/>
  <c r="J55" i="1"/>
  <c r="I28" i="1"/>
  <c r="J28" i="1"/>
  <c r="I29" i="1"/>
  <c r="J29" i="1"/>
  <c r="I15" i="1"/>
  <c r="J15" i="1"/>
  <c r="I26" i="1"/>
  <c r="J26" i="1"/>
  <c r="I18" i="1"/>
  <c r="J18" i="1"/>
  <c r="I56" i="1"/>
  <c r="J56" i="1"/>
  <c r="I59" i="1"/>
  <c r="F59" i="1"/>
  <c r="F11" i="1"/>
  <c r="J59" i="1" l="1"/>
  <c r="F60" i="1"/>
  <c r="F61" i="1" s="1"/>
  <c r="J60" i="1"/>
  <c r="J62" i="1" l="1"/>
  <c r="I62" i="1" s="1"/>
</calcChain>
</file>

<file path=xl/sharedStrings.xml><?xml version="1.0" encoding="utf-8"?>
<sst xmlns="http://schemas.openxmlformats.org/spreadsheetml/2006/main" count="1063" uniqueCount="401">
  <si>
    <r>
      <rPr>
        <sz val="18"/>
        <rFont val="微軟正黑體"/>
        <family val="2"/>
        <charset val="136"/>
      </rPr>
      <t>艾</t>
    </r>
    <r>
      <rPr>
        <sz val="18"/>
        <rFont val="Calibri"/>
        <family val="2"/>
      </rPr>
      <t xml:space="preserve">  </t>
    </r>
    <r>
      <rPr>
        <sz val="18"/>
        <rFont val="微軟正黑體"/>
        <family val="2"/>
        <charset val="136"/>
      </rPr>
      <t>力</t>
    </r>
    <r>
      <rPr>
        <sz val="18"/>
        <rFont val="Calibri"/>
        <family val="2"/>
      </rPr>
      <t xml:space="preserve">  </t>
    </r>
    <r>
      <rPr>
        <sz val="18"/>
        <rFont val="微軟正黑體"/>
        <family val="2"/>
        <charset val="136"/>
      </rPr>
      <t>得</t>
    </r>
    <r>
      <rPr>
        <sz val="18"/>
        <rFont val="Calibri"/>
        <family val="2"/>
      </rPr>
      <t xml:space="preserve">  </t>
    </r>
    <r>
      <rPr>
        <sz val="18"/>
        <rFont val="微軟正黑體"/>
        <family val="2"/>
        <charset val="136"/>
      </rPr>
      <t>國</t>
    </r>
    <r>
      <rPr>
        <sz val="18"/>
        <rFont val="Calibri"/>
        <family val="2"/>
      </rPr>
      <t xml:space="preserve">  </t>
    </r>
    <r>
      <rPr>
        <sz val="18"/>
        <rFont val="微軟正黑體"/>
        <family val="2"/>
        <charset val="136"/>
      </rPr>
      <t>際</t>
    </r>
    <r>
      <rPr>
        <sz val="18"/>
        <rFont val="Calibri"/>
        <family val="2"/>
      </rPr>
      <t xml:space="preserve">  </t>
    </r>
    <r>
      <rPr>
        <sz val="18"/>
        <rFont val="微軟正黑體"/>
        <family val="2"/>
        <charset val="136"/>
      </rPr>
      <t>會</t>
    </r>
    <r>
      <rPr>
        <sz val="18"/>
        <rFont val="Calibri"/>
        <family val="2"/>
      </rPr>
      <t xml:space="preserve">  </t>
    </r>
    <r>
      <rPr>
        <sz val="18"/>
        <rFont val="微軟正黑體"/>
        <family val="2"/>
        <charset val="136"/>
      </rPr>
      <t>議</t>
    </r>
    <r>
      <rPr>
        <sz val="18"/>
        <rFont val="Calibri"/>
        <family val="2"/>
      </rPr>
      <t xml:space="preserve">  </t>
    </r>
    <r>
      <rPr>
        <sz val="18"/>
        <rFont val="微軟正黑體"/>
        <family val="2"/>
        <charset val="136"/>
      </rPr>
      <t>顧</t>
    </r>
    <r>
      <rPr>
        <sz val="18"/>
        <rFont val="Calibri"/>
        <family val="2"/>
      </rPr>
      <t xml:space="preserve">  </t>
    </r>
    <r>
      <rPr>
        <sz val="18"/>
        <rFont val="微軟正黑體"/>
        <family val="2"/>
        <charset val="136"/>
      </rPr>
      <t>問</t>
    </r>
    <r>
      <rPr>
        <sz val="18"/>
        <rFont val="Calibri"/>
        <family val="2"/>
      </rPr>
      <t xml:space="preserve">  </t>
    </r>
    <r>
      <rPr>
        <sz val="18"/>
        <rFont val="微軟正黑體"/>
        <family val="2"/>
        <charset val="136"/>
      </rPr>
      <t>股</t>
    </r>
    <r>
      <rPr>
        <sz val="18"/>
        <rFont val="Calibri"/>
        <family val="2"/>
      </rPr>
      <t xml:space="preserve">  </t>
    </r>
    <r>
      <rPr>
        <sz val="18"/>
        <rFont val="微軟正黑體"/>
        <family val="2"/>
        <charset val="136"/>
      </rPr>
      <t>份</t>
    </r>
    <r>
      <rPr>
        <sz val="18"/>
        <rFont val="Calibri"/>
        <family val="2"/>
      </rPr>
      <t xml:space="preserve">  </t>
    </r>
    <r>
      <rPr>
        <sz val="18"/>
        <rFont val="微軟正黑體"/>
        <family val="2"/>
        <charset val="136"/>
      </rPr>
      <t>有</t>
    </r>
    <r>
      <rPr>
        <sz val="18"/>
        <rFont val="Calibri"/>
        <family val="2"/>
      </rPr>
      <t xml:space="preserve">  </t>
    </r>
    <r>
      <rPr>
        <sz val="18"/>
        <rFont val="微軟正黑體"/>
        <family val="2"/>
        <charset val="136"/>
      </rPr>
      <t>限</t>
    </r>
    <r>
      <rPr>
        <sz val="18"/>
        <rFont val="Calibri"/>
        <family val="2"/>
      </rPr>
      <t xml:space="preserve">  </t>
    </r>
    <r>
      <rPr>
        <sz val="18"/>
        <rFont val="微軟正黑體"/>
        <family val="2"/>
        <charset val="136"/>
      </rPr>
      <t>公</t>
    </r>
    <r>
      <rPr>
        <sz val="18"/>
        <rFont val="Calibri"/>
        <family val="2"/>
      </rPr>
      <t xml:space="preserve">  </t>
    </r>
    <r>
      <rPr>
        <sz val="18"/>
        <rFont val="微軟正黑體"/>
        <family val="2"/>
        <charset val="136"/>
      </rPr>
      <t>司</t>
    </r>
    <phoneticPr fontId="4" type="noConversion"/>
  </si>
  <si>
    <r>
      <rPr>
        <sz val="18"/>
        <rFont val="微軟正黑體"/>
        <family val="2"/>
        <charset val="136"/>
      </rPr>
      <t>報</t>
    </r>
    <r>
      <rPr>
        <sz val="18"/>
        <rFont val="Calibri"/>
        <family val="2"/>
      </rPr>
      <t xml:space="preserve">  </t>
    </r>
    <r>
      <rPr>
        <sz val="18"/>
        <rFont val="微軟正黑體"/>
        <family val="2"/>
        <charset val="136"/>
      </rPr>
      <t>價</t>
    </r>
    <r>
      <rPr>
        <sz val="18"/>
        <rFont val="Calibri"/>
        <family val="2"/>
      </rPr>
      <t xml:space="preserve">  </t>
    </r>
    <r>
      <rPr>
        <sz val="18"/>
        <rFont val="微軟正黑體"/>
        <family val="2"/>
        <charset val="136"/>
      </rPr>
      <t>單</t>
    </r>
    <phoneticPr fontId="4" type="noConversion"/>
  </si>
  <si>
    <r>
      <rPr>
        <sz val="14"/>
        <rFont val="微軟正黑體"/>
        <family val="2"/>
        <charset val="136"/>
      </rPr>
      <t>項次</t>
    </r>
    <phoneticPr fontId="8" type="noConversion"/>
  </si>
  <si>
    <r>
      <rPr>
        <sz val="14"/>
        <rFont val="微軟正黑體"/>
        <family val="2"/>
        <charset val="136"/>
      </rPr>
      <t>項目</t>
    </r>
    <phoneticPr fontId="8" type="noConversion"/>
  </si>
  <si>
    <r>
      <rPr>
        <sz val="14"/>
        <rFont val="微軟正黑體"/>
        <family val="2"/>
        <charset val="136"/>
      </rPr>
      <t>規</t>
    </r>
    <r>
      <rPr>
        <sz val="14"/>
        <rFont val="Calibri"/>
        <family val="2"/>
      </rPr>
      <t xml:space="preserve"> </t>
    </r>
    <r>
      <rPr>
        <sz val="14"/>
        <rFont val="微軟正黑體"/>
        <family val="2"/>
        <charset val="136"/>
      </rPr>
      <t>格</t>
    </r>
    <phoneticPr fontId="8" type="noConversion"/>
  </si>
  <si>
    <r>
      <rPr>
        <sz val="14"/>
        <rFont val="微軟正黑體"/>
        <family val="2"/>
        <charset val="136"/>
      </rPr>
      <t>單位</t>
    </r>
    <phoneticPr fontId="8" type="noConversion"/>
  </si>
  <si>
    <r>
      <rPr>
        <sz val="14"/>
        <rFont val="微軟正黑體"/>
        <family val="2"/>
        <charset val="136"/>
      </rPr>
      <t>數量</t>
    </r>
    <phoneticPr fontId="8" type="noConversion"/>
  </si>
  <si>
    <r>
      <rPr>
        <sz val="14"/>
        <rFont val="微軟正黑體"/>
        <family val="2"/>
        <charset val="136"/>
      </rPr>
      <t>單價</t>
    </r>
    <phoneticPr fontId="4" type="noConversion"/>
  </si>
  <si>
    <r>
      <rPr>
        <sz val="14"/>
        <rFont val="微軟正黑體"/>
        <family val="2"/>
        <charset val="136"/>
      </rPr>
      <t>合計</t>
    </r>
    <phoneticPr fontId="4" type="noConversion"/>
  </si>
  <si>
    <r>
      <rPr>
        <sz val="14"/>
        <rFont val="微軟正黑體"/>
        <family val="2"/>
        <charset val="136"/>
      </rPr>
      <t>小計</t>
    </r>
    <phoneticPr fontId="8" type="noConversion"/>
  </si>
  <si>
    <r>
      <rPr>
        <sz val="14"/>
        <rFont val="微軟正黑體"/>
        <family val="2"/>
        <charset val="136"/>
      </rPr>
      <t>營業稅</t>
    </r>
    <phoneticPr fontId="8" type="noConversion"/>
  </si>
  <si>
    <r>
      <rPr>
        <sz val="14"/>
        <rFont val="微軟正黑體"/>
        <family val="2"/>
        <charset val="136"/>
      </rPr>
      <t>總計</t>
    </r>
    <phoneticPr fontId="8" type="noConversion"/>
  </si>
  <si>
    <r>
      <rPr>
        <sz val="16"/>
        <rFont val="微軟正黑體"/>
        <family val="2"/>
        <charset val="136"/>
      </rPr>
      <t>客</t>
    </r>
    <r>
      <rPr>
        <sz val="16"/>
        <rFont val="Calibri"/>
        <family val="2"/>
      </rPr>
      <t xml:space="preserve">  </t>
    </r>
    <r>
      <rPr>
        <sz val="16"/>
        <rFont val="微軟正黑體"/>
        <family val="2"/>
        <charset val="136"/>
      </rPr>
      <t>戶</t>
    </r>
    <r>
      <rPr>
        <sz val="16"/>
        <rFont val="Calibri"/>
        <family val="2"/>
      </rPr>
      <t xml:space="preserve">  </t>
    </r>
    <r>
      <rPr>
        <sz val="16"/>
        <rFont val="微軟正黑體"/>
        <family val="2"/>
        <charset val="136"/>
      </rPr>
      <t>簽</t>
    </r>
    <r>
      <rPr>
        <sz val="16"/>
        <rFont val="Calibri"/>
        <family val="2"/>
      </rPr>
      <t xml:space="preserve">  </t>
    </r>
    <r>
      <rPr>
        <sz val="16"/>
        <rFont val="微軟正黑體"/>
        <family val="2"/>
        <charset val="136"/>
      </rPr>
      <t>名</t>
    </r>
    <phoneticPr fontId="8" type="noConversion"/>
  </si>
  <si>
    <r>
      <rPr>
        <sz val="16"/>
        <rFont val="微軟正黑體"/>
        <family val="2"/>
        <charset val="136"/>
      </rPr>
      <t>日期</t>
    </r>
    <r>
      <rPr>
        <sz val="16"/>
        <rFont val="新細明體"/>
        <family val="1"/>
        <charset val="136"/>
      </rPr>
      <t>：</t>
    </r>
    <phoneticPr fontId="8" type="noConversion"/>
  </si>
  <si>
    <t>式</t>
    <phoneticPr fontId="3" type="noConversion"/>
  </si>
  <si>
    <t>全區地毯</t>
    <phoneticPr fontId="8" type="noConversion"/>
  </si>
  <si>
    <t>1800*1200cm全新不織布雙色拼接</t>
    <phoneticPr fontId="8" type="noConversion"/>
  </si>
  <si>
    <t>才</t>
    <phoneticPr fontId="4" type="noConversion"/>
  </si>
  <si>
    <t>倉庫隔間背板(含包柱)</t>
    <phoneticPr fontId="8" type="noConversion"/>
  </si>
  <si>
    <t>100*h250cm組合背板</t>
    <phoneticPr fontId="8" type="noConversion"/>
  </si>
  <si>
    <t>米</t>
    <phoneticPr fontId="4" type="noConversion"/>
  </si>
  <si>
    <t>100*h200cm組合木門</t>
    <phoneticPr fontId="8" type="noConversion"/>
  </si>
  <si>
    <t>式</t>
    <phoneticPr fontId="4" type="noConversion"/>
  </si>
  <si>
    <t>倉庫內置物架</t>
    <phoneticPr fontId="8" type="noConversion"/>
  </si>
  <si>
    <t>100*50*h200 直式3層層版</t>
    <phoneticPr fontId="8" type="noConversion"/>
  </si>
  <si>
    <t>站台</t>
    <phoneticPr fontId="8" type="noConversion"/>
  </si>
  <si>
    <t>100*50*h25cm 面鋪地毯</t>
    <phoneticPr fontId="8" type="noConversion"/>
  </si>
  <si>
    <t>環場加高看板結構</t>
    <phoneticPr fontId="8" type="noConversion"/>
  </si>
  <si>
    <t>h100cm/8*8cm鋁方柱/白看板</t>
    <phoneticPr fontId="8" type="noConversion"/>
  </si>
  <si>
    <t>直立看板支撐架</t>
    <phoneticPr fontId="8" type="noConversion"/>
  </si>
  <si>
    <t>100*h300cm/8*8cm鋁方柱</t>
    <phoneticPr fontId="8" type="noConversion"/>
  </si>
  <si>
    <t>主看板加厚全銜美工字</t>
    <phoneticPr fontId="8" type="noConversion"/>
  </si>
  <si>
    <t>h50cm/保麗龍加厚字</t>
    <phoneticPr fontId="8" type="noConversion"/>
  </si>
  <si>
    <t>環場看板輸出物</t>
    <phoneticPr fontId="8" type="noConversion"/>
  </si>
  <si>
    <t>3600*h100cm/pvc輸出襯板</t>
    <phoneticPr fontId="8" type="noConversion"/>
  </si>
  <si>
    <t>倉庫外圍輸出物</t>
    <phoneticPr fontId="8" type="noConversion"/>
  </si>
  <si>
    <t>1400*h250cm/pvc輸出襯板</t>
    <phoneticPr fontId="8" type="noConversion"/>
  </si>
  <si>
    <t>看板長柄燈</t>
    <phoneticPr fontId="8" type="noConversion"/>
  </si>
  <si>
    <t>52w長柄投光燈/白光</t>
    <phoneticPr fontId="8" type="noConversion"/>
  </si>
  <si>
    <t>倉庫長柄燈</t>
    <phoneticPr fontId="8" type="noConversion"/>
  </si>
  <si>
    <t>10w長柄投光燈/白光</t>
    <phoneticPr fontId="8" type="noConversion"/>
  </si>
  <si>
    <t>站台區音響插座</t>
    <phoneticPr fontId="8" type="noConversion"/>
  </si>
  <si>
    <t>洽談桌椅</t>
    <phoneticPr fontId="8" type="noConversion"/>
  </si>
  <si>
    <t>玻璃圓桌*1/折合椅*3</t>
    <phoneticPr fontId="8" type="noConversion"/>
  </si>
  <si>
    <t>折合椅</t>
    <phoneticPr fontId="8" type="noConversion"/>
  </si>
  <si>
    <t>黑色折合椅</t>
    <phoneticPr fontId="8" type="noConversion"/>
  </si>
  <si>
    <t>測量諮詢桌/看板</t>
    <phoneticPr fontId="8" type="noConversion"/>
  </si>
  <si>
    <t>300*50*h75cm組合服務台 / 櫃身貼皮</t>
    <phoneticPr fontId="8" type="noConversion"/>
  </si>
  <si>
    <t>燈光/插座</t>
    <phoneticPr fontId="8" type="noConversion"/>
  </si>
  <si>
    <t>輸出海報</t>
    <phoneticPr fontId="8" type="noConversion"/>
  </si>
  <si>
    <t>100*250cm*4 / 100*150*4  pvc輸出襯板</t>
    <phoneticPr fontId="8" type="noConversion"/>
  </si>
  <si>
    <t>洽談椅</t>
    <phoneticPr fontId="8" type="noConversion"/>
  </si>
  <si>
    <t>白色扶手椅</t>
    <phoneticPr fontId="8" type="noConversion"/>
  </si>
  <si>
    <t>服務桌</t>
    <phoneticPr fontId="8" type="noConversion"/>
  </si>
  <si>
    <t>100*50*h75cm組合服務台 / 櫃身貼皮</t>
    <phoneticPr fontId="8" type="noConversion"/>
  </si>
  <si>
    <t>電視底板</t>
    <phoneticPr fontId="8" type="noConversion"/>
  </si>
  <si>
    <t>100*100*h250cm三角組合背板</t>
    <phoneticPr fontId="8" type="noConversion"/>
  </si>
  <si>
    <t>立式海報板(含花箱)</t>
    <phoneticPr fontId="8" type="noConversion"/>
  </si>
  <si>
    <t>100*30*h250cm組合背板</t>
    <phoneticPr fontId="8" type="noConversion"/>
  </si>
  <si>
    <t>10W長柄投光燈*10 / 5A 插座*3</t>
    <phoneticPr fontId="8" type="noConversion"/>
  </si>
  <si>
    <t>100*250cm*10  pvc輸出襯板</t>
    <phoneticPr fontId="8" type="noConversion"/>
  </si>
  <si>
    <t>裝飾盆栽</t>
    <phoneticPr fontId="8" type="noConversion"/>
  </si>
  <si>
    <t>綠色蕨類盆栽/中型盆栽</t>
    <phoneticPr fontId="8" type="noConversion"/>
  </si>
  <si>
    <t>參展單位-1個展位</t>
    <phoneticPr fontId="8" type="noConversion"/>
  </si>
  <si>
    <t>參展單位-2個展位</t>
    <phoneticPr fontId="8" type="noConversion"/>
  </si>
  <si>
    <t>一、全區布置</t>
    <phoneticPr fontId="3" type="noConversion"/>
  </si>
  <si>
    <t>1-1</t>
    <phoneticPr fontId="3" type="noConversion"/>
  </si>
  <si>
    <t>1-2</t>
  </si>
  <si>
    <t>1-3</t>
  </si>
  <si>
    <t>1-4</t>
  </si>
  <si>
    <t>1-5</t>
  </si>
  <si>
    <t>1-6</t>
  </si>
  <si>
    <t>1-7</t>
  </si>
  <si>
    <t>1-8</t>
  </si>
  <si>
    <t>1-9</t>
  </si>
  <si>
    <t>1-10</t>
  </si>
  <si>
    <t>1-11</t>
  </si>
  <si>
    <t>1-12</t>
  </si>
  <si>
    <t>1-13</t>
  </si>
  <si>
    <t>1-14</t>
  </si>
  <si>
    <t>1-15</t>
  </si>
  <si>
    <r>
      <t>二</t>
    </r>
    <r>
      <rPr>
        <b/>
        <sz val="14"/>
        <color theme="1" tint="0.14999847407452621"/>
        <rFont val="新細明體"/>
        <family val="1"/>
        <charset val="136"/>
      </rPr>
      <t>、</t>
    </r>
    <r>
      <rPr>
        <b/>
        <sz val="14"/>
        <color theme="1" tint="0.14999847407452621"/>
        <rFont val="微軟正黑體"/>
        <family val="2"/>
        <charset val="136"/>
      </rPr>
      <t>測量諮詢區</t>
    </r>
    <phoneticPr fontId="3" type="noConversion"/>
  </si>
  <si>
    <t>2-1</t>
    <phoneticPr fontId="3" type="noConversion"/>
  </si>
  <si>
    <t>2-2</t>
  </si>
  <si>
    <t>3-1</t>
    <phoneticPr fontId="3" type="noConversion"/>
  </si>
  <si>
    <t>3-2</t>
  </si>
  <si>
    <t>4-1</t>
    <phoneticPr fontId="3" type="noConversion"/>
  </si>
  <si>
    <t>4-2</t>
    <phoneticPr fontId="3" type="noConversion"/>
  </si>
  <si>
    <t>平面設計費</t>
    <phoneticPr fontId="10" type="noConversion"/>
  </si>
  <si>
    <t>場地租金</t>
    <phoneticPr fontId="3" type="noConversion"/>
  </si>
  <si>
    <t>公共意外責任險</t>
    <phoneticPr fontId="3" type="noConversion"/>
  </si>
  <si>
    <t>式</t>
  </si>
  <si>
    <r>
      <t>三</t>
    </r>
    <r>
      <rPr>
        <b/>
        <sz val="14"/>
        <color theme="1" tint="0.14999847407452621"/>
        <rFont val="新細明體"/>
        <family val="1"/>
        <charset val="136"/>
      </rPr>
      <t>、</t>
    </r>
    <r>
      <rPr>
        <b/>
        <sz val="14"/>
        <color theme="1" tint="0.14999847407452621"/>
        <rFont val="微軟正黑體"/>
        <family val="2"/>
        <charset val="136"/>
      </rPr>
      <t>展示宣傳區</t>
    </r>
    <phoneticPr fontId="3" type="noConversion"/>
  </si>
  <si>
    <r>
      <rPr>
        <b/>
        <sz val="14"/>
        <color theme="1" tint="0.14999847407452621"/>
        <rFont val="新細明體"/>
        <family val="1"/>
        <charset val="136"/>
      </rPr>
      <t>四、</t>
    </r>
    <r>
      <rPr>
        <b/>
        <sz val="14"/>
        <color theme="1" tint="0.14999847407452621"/>
        <rFont val="微軟正黑體"/>
        <family val="2"/>
        <charset val="136"/>
      </rPr>
      <t>參展單位展台</t>
    </r>
    <phoneticPr fontId="8" type="noConversion"/>
  </si>
  <si>
    <t>3-3</t>
  </si>
  <si>
    <t>3-4</t>
  </si>
  <si>
    <t>3-5</t>
  </si>
  <si>
    <t>3-6</t>
  </si>
  <si>
    <t>3-7</t>
  </si>
  <si>
    <t>5-1</t>
    <phoneticPr fontId="3" type="noConversion"/>
  </si>
  <si>
    <t>5-2</t>
    <phoneticPr fontId="3" type="noConversion"/>
  </si>
  <si>
    <t>客戶名稱：衛生福利部國家中醫藥研究所</t>
    <phoneticPr fontId="4" type="noConversion"/>
  </si>
  <si>
    <t>六、其他</t>
    <phoneticPr fontId="8" type="noConversion"/>
  </si>
  <si>
    <t>6-1</t>
    <phoneticPr fontId="3" type="noConversion"/>
  </si>
  <si>
    <t>6-2</t>
    <phoneticPr fontId="3" type="noConversion"/>
  </si>
  <si>
    <t>6-3</t>
    <phoneticPr fontId="3" type="noConversion"/>
  </si>
  <si>
    <t>6-4</t>
  </si>
  <si>
    <t>110V 5A</t>
    <phoneticPr fontId="8" type="noConversion"/>
  </si>
  <si>
    <t>200*50*h100/h250cm組合展台(櫃身貼皮 附拉門.鎖) / 200*50cm燈箱看板(含全銜) / 200*150cm 輸出海報(襯板) / 10W 長柄投光燈*2 / 5A插座*2  / 折合椅*2  (電視另計)</t>
    <phoneticPr fontId="8" type="noConversion"/>
  </si>
  <si>
    <t>世貿一館A區 12*18m(含稅)</t>
    <phoneticPr fontId="3" type="noConversion"/>
  </si>
  <si>
    <t>網路架設</t>
    <phoneticPr fontId="3" type="noConversion"/>
  </si>
  <si>
    <t>6-5</t>
    <phoneticPr fontId="3" type="noConversion"/>
  </si>
  <si>
    <t>有線100/100m*1+無線AP*1</t>
    <phoneticPr fontId="3" type="noConversion"/>
  </si>
  <si>
    <t>6-6</t>
    <phoneticPr fontId="3" type="noConversion"/>
  </si>
  <si>
    <t>電費</t>
    <phoneticPr fontId="3" type="noConversion"/>
  </si>
  <si>
    <t>總用電35kw 每 0.5kw nt$900(含稅)</t>
    <phoneticPr fontId="3" type="noConversion"/>
  </si>
  <si>
    <t>式</t>
    <phoneticPr fontId="10" type="noConversion"/>
  </si>
  <si>
    <t>承保範圍	保險金額(NT$)	自負額
每一個人身體傷亡	2,000,000	無
每一意外事故身體傷亡	10,000,000	
每一意外事故財物損失	2,000,000	
保險期間內累積賠償限額	24,000,000</t>
    <phoneticPr fontId="3" type="noConversion"/>
  </si>
  <si>
    <t>五、視聽音響</t>
    <phoneticPr fontId="8" type="noConversion"/>
  </si>
  <si>
    <t>42吋液晶電視</t>
    <phoneticPr fontId="3" type="noConversion"/>
  </si>
  <si>
    <t>Full HD 1080p
超高解析度1920 *1080
聲音輸出：10W+10W
介面：HDMI / D-Sub / LAN / AV / 色差 / USB 2.0
支援USB撥放</t>
    <phoneticPr fontId="3" type="noConversion"/>
  </si>
  <si>
    <t>65吋液晶電視</t>
    <phoneticPr fontId="3" type="noConversion"/>
  </si>
  <si>
    <t>解析度3840*2160
IPS面板
聲音輸出：16W
介面：HDMI / LAN / AV / 色差 / USB等
支援USB撥放</t>
    <phoneticPr fontId="8" type="noConversion"/>
  </si>
  <si>
    <t>展場輸出設計完稿</t>
    <phoneticPr fontId="10" type="noConversion"/>
  </si>
  <si>
    <t>負  責  人：邱松嵐</t>
    <phoneticPr fontId="4" type="noConversion"/>
  </si>
  <si>
    <t>地        址：臺北市堤頂大道2段285號4樓</t>
    <phoneticPr fontId="4" type="noConversion"/>
  </si>
  <si>
    <t>電        話：02-2798-8329 Ext29</t>
    <phoneticPr fontId="4" type="noConversion"/>
  </si>
  <si>
    <t>傳        真：02-2798-6225</t>
    <phoneticPr fontId="4" type="noConversion"/>
  </si>
  <si>
    <t>報價單位：艾力得國際會議顧問股份有限公司</t>
    <phoneticPr fontId="4" type="noConversion"/>
  </si>
  <si>
    <t>承  辦  人：陳建南</t>
    <phoneticPr fontId="4" type="noConversion"/>
  </si>
  <si>
    <t>400*50*h100/h250cm組合展台(櫃身貼皮 附拉門.鎖) / 400*50cm燈箱看板(含全銜) /400*150cm 輸出海報(襯板)/10W 長柄投光燈*4 / 5A插座*4/ 折合椅*4  (42"電視另計)</t>
    <phoneticPr fontId="8" type="noConversion"/>
  </si>
  <si>
    <t xml:space="preserve">行動式音響 </t>
    <phoneticPr fontId="3" type="noConversion"/>
  </si>
  <si>
    <t>含無線MIC 2支</t>
    <phoneticPr fontId="3" type="noConversion"/>
  </si>
  <si>
    <t>2-3</t>
    <phoneticPr fontId="3" type="noConversion"/>
  </si>
  <si>
    <t>2-4</t>
    <phoneticPr fontId="3" type="noConversion"/>
  </si>
  <si>
    <t>2-5</t>
    <phoneticPr fontId="3" type="noConversion"/>
  </si>
  <si>
    <t>隔間展示台</t>
    <phoneticPr fontId="8" type="noConversion"/>
  </si>
  <si>
    <t>100*50*h100cm(h250cm)組合展台(櫃身貼皮 附拉門.鎖) / 含組合背板或中空版</t>
    <phoneticPr fontId="8" type="noConversion"/>
  </si>
  <si>
    <t>1-16</t>
    <phoneticPr fontId="3" type="noConversion"/>
  </si>
  <si>
    <t>包柱</t>
    <phoneticPr fontId="3" type="noConversion"/>
  </si>
  <si>
    <t>400*h250組合背板(含珠簾) / 10w投光燈*4</t>
  </si>
  <si>
    <t>行政管理費</t>
    <phoneticPr fontId="3" type="noConversion"/>
  </si>
  <si>
    <t>會場硬體設計費</t>
    <phoneticPr fontId="10" type="noConversion"/>
  </si>
  <si>
    <t>會場硬體規劃設計 不含圖片購買</t>
    <phoneticPr fontId="10" type="noConversion"/>
  </si>
  <si>
    <t>聯繫 運輸 會場監工</t>
    <phoneticPr fontId="3" type="noConversion"/>
  </si>
  <si>
    <t>6-7</t>
    <phoneticPr fontId="3" type="noConversion"/>
  </si>
  <si>
    <r>
      <rPr>
        <sz val="12"/>
        <rFont val="微軟正黑體"/>
        <family val="2"/>
        <charset val="136"/>
      </rPr>
      <t>原始數量為</t>
    </r>
    <r>
      <rPr>
        <sz val="12"/>
        <rFont val="Calibri"/>
        <family val="2"/>
      </rPr>
      <t>3</t>
    </r>
    <phoneticPr fontId="3" type="noConversion"/>
  </si>
  <si>
    <r>
      <rPr>
        <sz val="12"/>
        <rFont val="微軟正黑體"/>
        <family val="2"/>
        <charset val="136"/>
      </rPr>
      <t>原始數量為</t>
    </r>
    <r>
      <rPr>
        <sz val="12"/>
        <rFont val="Calibri"/>
        <family val="2"/>
      </rPr>
      <t>24</t>
    </r>
    <phoneticPr fontId="3" type="noConversion"/>
  </si>
  <si>
    <t>原始價格 6200</t>
    <phoneticPr fontId="3" type="noConversion"/>
  </si>
  <si>
    <r>
      <rPr>
        <sz val="12"/>
        <rFont val="微軟正黑體"/>
        <family val="2"/>
        <charset val="136"/>
      </rPr>
      <t>原始項目</t>
    </r>
    <r>
      <rPr>
        <sz val="12"/>
        <rFont val="Calibri"/>
        <family val="2"/>
      </rPr>
      <t xml:space="preserve"> </t>
    </r>
    <r>
      <rPr>
        <sz val="12"/>
        <rFont val="微軟正黑體"/>
        <family val="2"/>
        <charset val="136"/>
      </rPr>
      <t>展示</t>
    </r>
    <r>
      <rPr>
        <sz val="12"/>
        <rFont val="Calibri"/>
        <family val="2"/>
      </rPr>
      <t>A</t>
    </r>
    <r>
      <rPr>
        <sz val="12"/>
        <rFont val="微軟正黑體"/>
        <family val="2"/>
        <charset val="136"/>
      </rPr>
      <t>與展示</t>
    </r>
    <r>
      <rPr>
        <sz val="12"/>
        <rFont val="Calibri"/>
        <family val="2"/>
      </rPr>
      <t xml:space="preserve">B </t>
    </r>
    <r>
      <rPr>
        <sz val="12"/>
        <rFont val="微軟正黑體"/>
        <family val="2"/>
        <charset val="136"/>
      </rPr>
      <t>合成一項</t>
    </r>
    <phoneticPr fontId="3" type="noConversion"/>
  </si>
  <si>
    <r>
      <t>10W長柄投光燈</t>
    </r>
    <r>
      <rPr>
        <sz val="12"/>
        <color rgb="FFFF0000"/>
        <rFont val="微軟正黑體"/>
        <family val="2"/>
        <charset val="136"/>
      </rPr>
      <t>*10</t>
    </r>
    <r>
      <rPr>
        <sz val="12"/>
        <color theme="1" tint="0.14999847407452621"/>
        <rFont val="微軟正黑體"/>
        <family val="2"/>
        <charset val="136"/>
      </rPr>
      <t xml:space="preserve"> / 5A 插座*5</t>
    </r>
    <phoneticPr fontId="8" type="noConversion"/>
  </si>
  <si>
    <t>燈光原始數量 16</t>
    <phoneticPr fontId="3" type="noConversion"/>
  </si>
  <si>
    <r>
      <rPr>
        <sz val="12"/>
        <rFont val="微軟正黑體"/>
        <family val="2"/>
        <charset val="136"/>
      </rPr>
      <t>原始單價</t>
    </r>
    <r>
      <rPr>
        <sz val="12"/>
        <rFont val="Calibri"/>
        <family val="2"/>
      </rPr>
      <t xml:space="preserve">   17,900
</t>
    </r>
    <r>
      <rPr>
        <sz val="12"/>
        <rFont val="微軟正黑體"/>
        <family val="2"/>
        <charset val="136"/>
      </rPr>
      <t>原始合計</t>
    </r>
    <r>
      <rPr>
        <sz val="12"/>
        <rFont val="Calibri"/>
        <family val="2"/>
      </rPr>
      <t xml:space="preserve"> 107,400</t>
    </r>
    <phoneticPr fontId="3" type="noConversion"/>
  </si>
  <si>
    <r>
      <rPr>
        <sz val="12"/>
        <rFont val="微軟正黑體"/>
        <family val="2"/>
        <charset val="136"/>
      </rPr>
      <t>原始單價</t>
    </r>
    <r>
      <rPr>
        <sz val="12"/>
        <rFont val="Calibri"/>
        <family val="2"/>
      </rPr>
      <t xml:space="preserve">   33,000
</t>
    </r>
    <r>
      <rPr>
        <sz val="12"/>
        <rFont val="微軟正黑體"/>
        <family val="2"/>
        <charset val="136"/>
      </rPr>
      <t>原始合計</t>
    </r>
    <r>
      <rPr>
        <sz val="12"/>
        <rFont val="Calibri"/>
        <family val="2"/>
      </rPr>
      <t xml:space="preserve"> 132,000</t>
    </r>
    <phoneticPr fontId="3" type="noConversion"/>
  </si>
  <si>
    <r>
      <rPr>
        <sz val="12"/>
        <rFont val="微軟正黑體"/>
        <family val="2"/>
        <charset val="136"/>
      </rPr>
      <t>運費項目移至</t>
    </r>
    <r>
      <rPr>
        <sz val="12"/>
        <rFont val="Calibri"/>
        <family val="2"/>
      </rPr>
      <t xml:space="preserve"> </t>
    </r>
    <r>
      <rPr>
        <sz val="12"/>
        <rFont val="微軟正黑體"/>
        <family val="2"/>
        <charset val="136"/>
      </rPr>
      <t xml:space="preserve">行政管理費
原始運費費用為
</t>
    </r>
    <r>
      <rPr>
        <sz val="12"/>
        <rFont val="Calibri"/>
        <family val="2"/>
      </rPr>
      <t>4</t>
    </r>
    <r>
      <rPr>
        <sz val="12"/>
        <rFont val="微軟正黑體"/>
        <family val="2"/>
        <charset val="136"/>
      </rPr>
      <t>趟</t>
    </r>
    <r>
      <rPr>
        <sz val="12"/>
        <rFont val="Calibri"/>
        <family val="2"/>
      </rPr>
      <t xml:space="preserve"> / </t>
    </r>
    <r>
      <rPr>
        <sz val="12"/>
        <rFont val="微軟正黑體"/>
        <family val="2"/>
        <charset val="136"/>
      </rPr>
      <t>單價</t>
    </r>
    <r>
      <rPr>
        <sz val="12"/>
        <rFont val="Calibri"/>
        <family val="2"/>
      </rPr>
      <t xml:space="preserve">450 / </t>
    </r>
    <r>
      <rPr>
        <sz val="12"/>
        <rFont val="微軟正黑體"/>
        <family val="2"/>
        <charset val="136"/>
      </rPr>
      <t>合計</t>
    </r>
    <r>
      <rPr>
        <sz val="12"/>
        <rFont val="Calibri"/>
        <family val="2"/>
      </rPr>
      <t xml:space="preserve"> 1,800</t>
    </r>
    <phoneticPr fontId="3" type="noConversion"/>
  </si>
  <si>
    <t>新增項目</t>
    <phoneticPr fontId="3" type="noConversion"/>
  </si>
  <si>
    <t>【備註】原始數量/價格/項目</t>
    <phoneticPr fontId="3" type="noConversion"/>
  </si>
  <si>
    <r>
      <t>倉庫隔間木門</t>
    </r>
    <r>
      <rPr>
        <b/>
        <sz val="12"/>
        <color rgb="FFFF0000"/>
        <rFont val="微軟正黑體"/>
        <family val="2"/>
        <charset val="136"/>
      </rPr>
      <t>(帶鎖)</t>
    </r>
    <phoneticPr fontId="8" type="noConversion"/>
  </si>
  <si>
    <t>可簡化</t>
    <phoneticPr fontId="3" type="noConversion"/>
  </si>
  <si>
    <t>每單位金額</t>
    <phoneticPr fontId="3" type="noConversion"/>
  </si>
  <si>
    <t>建議修改</t>
    <phoneticPr fontId="3" type="noConversion"/>
  </si>
  <si>
    <r>
      <rPr>
        <b/>
        <sz val="12"/>
        <color rgb="FFFF0000"/>
        <rFont val="微軟正黑體"/>
        <family val="2"/>
        <charset val="136"/>
      </rPr>
      <t>改</t>
    </r>
    <r>
      <rPr>
        <b/>
        <sz val="12"/>
        <color rgb="FFFF0000"/>
        <rFont val="Calibri"/>
        <family val="2"/>
      </rPr>
      <t>3</t>
    </r>
    <r>
      <rPr>
        <b/>
        <sz val="12"/>
        <color rgb="FFFF0000"/>
        <rFont val="微軟正黑體"/>
        <family val="2"/>
        <charset val="136"/>
      </rPr>
      <t>座</t>
    </r>
    <phoneticPr fontId="3" type="noConversion"/>
  </si>
  <si>
    <t>中醫所(佔6/20)</t>
    <phoneticPr fontId="3" type="noConversion"/>
  </si>
  <si>
    <t>人事費</t>
  </si>
  <si>
    <t>業務費</t>
  </si>
  <si>
    <t>租金</t>
  </si>
  <si>
    <t>展館主體</t>
  </si>
  <si>
    <t>量測及諮詢區</t>
  </si>
  <si>
    <t>展示宣傳區</t>
  </si>
  <si>
    <t>保險費</t>
  </si>
  <si>
    <t>雜支費</t>
  </si>
  <si>
    <t>管理費</t>
  </si>
  <si>
    <t>項　目</t>
  </si>
  <si>
    <t>規格</t>
  </si>
  <si>
    <t>單價</t>
  </si>
  <si>
    <t>數量</t>
  </si>
  <si>
    <t>單位</t>
  </si>
  <si>
    <t>金額</t>
  </si>
  <si>
    <t>(新臺幣元)</t>
  </si>
  <si>
    <t>執行本案聯繫及管理人力</t>
    <phoneticPr fontId="3" type="noConversion"/>
  </si>
  <si>
    <t>..</t>
    <phoneticPr fontId="3" type="noConversion"/>
  </si>
  <si>
    <t>6/20</t>
    <phoneticPr fontId="3" type="noConversion"/>
  </si>
  <si>
    <t>佔比</t>
    <phoneticPr fontId="3" type="noConversion"/>
  </si>
  <si>
    <t>20/20</t>
    <phoneticPr fontId="3" type="noConversion"/>
  </si>
  <si>
    <r>
      <t>世貿一館A區 12*18m</t>
    </r>
    <r>
      <rPr>
        <b/>
        <sz val="14"/>
        <color rgb="FFFF0000"/>
        <rFont val="微軟正黑體"/>
        <family val="2"/>
        <charset val="136"/>
      </rPr>
      <t>(含稅)</t>
    </r>
    <phoneticPr fontId="3" type="noConversion"/>
  </si>
  <si>
    <r>
      <t>總用電35kw 每 0.5kw nt$900</t>
    </r>
    <r>
      <rPr>
        <b/>
        <sz val="14"/>
        <color rgb="FFFF0000"/>
        <rFont val="微軟正黑體"/>
        <family val="2"/>
        <charset val="136"/>
      </rPr>
      <t>(含稅)</t>
    </r>
    <phoneticPr fontId="3" type="noConversion"/>
  </si>
  <si>
    <t>需依照公告金額修改</t>
    <phoneticPr fontId="3" type="noConversion"/>
  </si>
  <si>
    <t>範例</t>
    <phoneticPr fontId="3" type="noConversion"/>
  </si>
  <si>
    <t>..依規劃列出</t>
    <phoneticPr fontId="3" type="noConversion"/>
  </si>
  <si>
    <t>各單位金額</t>
    <phoneticPr fontId="3" type="noConversion"/>
  </si>
  <si>
    <r>
      <rPr>
        <b/>
        <sz val="12"/>
        <color rgb="FFFF0000"/>
        <rFont val="微軟正黑體"/>
        <family val="2"/>
        <charset val="136"/>
      </rPr>
      <t>每</t>
    </r>
    <r>
      <rPr>
        <b/>
        <sz val="12"/>
        <color rgb="FFFF0000"/>
        <rFont val="Calibri"/>
        <family val="2"/>
      </rPr>
      <t>2</t>
    </r>
    <r>
      <rPr>
        <b/>
        <sz val="12"/>
        <color rgb="FFFF0000"/>
        <rFont val="微軟正黑體"/>
        <family val="2"/>
        <charset val="136"/>
      </rPr>
      <t>單位另</t>
    </r>
    <r>
      <rPr>
        <b/>
        <sz val="12"/>
        <color rgb="FFFF0000"/>
        <rFont val="Calibri"/>
        <family val="2"/>
      </rPr>
      <t>+17276</t>
    </r>
    <r>
      <rPr>
        <b/>
        <sz val="12"/>
        <color rgb="FFFF0000"/>
        <rFont val="微軟正黑體"/>
        <family val="2"/>
        <charset val="136"/>
      </rPr>
      <t>（展館燈光地毯倉庫及電力）</t>
    </r>
    <phoneticPr fontId="3" type="noConversion"/>
  </si>
  <si>
    <t>修改為：</t>
    <phoneticPr fontId="3" type="noConversion"/>
  </si>
  <si>
    <r>
      <rPr>
        <b/>
        <sz val="12"/>
        <color rgb="FFFF0000"/>
        <rFont val="微軟正黑體"/>
        <family val="2"/>
        <charset val="136"/>
      </rPr>
      <t>每單位另</t>
    </r>
    <r>
      <rPr>
        <b/>
        <sz val="12"/>
        <color rgb="FFFF0000"/>
        <rFont val="Calibri"/>
        <family val="2"/>
      </rPr>
      <t>+8638</t>
    </r>
    <r>
      <rPr>
        <b/>
        <sz val="12"/>
        <color rgb="FFFF0000"/>
        <rFont val="微軟正黑體"/>
        <family val="2"/>
        <charset val="136"/>
      </rPr>
      <t>（展館倉庫</t>
    </r>
    <r>
      <rPr>
        <b/>
        <sz val="12"/>
        <color rgb="FFFF0000"/>
        <rFont val="Calibri"/>
        <family val="2"/>
      </rPr>
      <t>/</t>
    </r>
    <r>
      <rPr>
        <b/>
        <sz val="12"/>
        <color rgb="FFFF0000"/>
        <rFont val="微軟正黑體"/>
        <family val="2"/>
        <charset val="136"/>
      </rPr>
      <t>地毯</t>
    </r>
    <r>
      <rPr>
        <b/>
        <sz val="12"/>
        <color rgb="FFFF0000"/>
        <rFont val="Calibri"/>
        <family val="2"/>
      </rPr>
      <t>/</t>
    </r>
    <r>
      <rPr>
        <b/>
        <sz val="12"/>
        <color rgb="FFFF0000"/>
        <rFont val="微軟正黑體"/>
        <family val="2"/>
        <charset val="136"/>
      </rPr>
      <t>電力）</t>
    </r>
    <phoneticPr fontId="3" type="noConversion"/>
  </si>
  <si>
    <r>
      <t>200*50*h100/h250cm組合展台(櫃身貼皮 附拉門.鎖) / 200*50cm燈箱看板(含全銜) / 200*150cm 輸出海報(襯板) / 10W 長柄投光燈*2 / 5A插座*2  / 折合椅*2/</t>
    </r>
    <r>
      <rPr>
        <b/>
        <sz val="10"/>
        <color rgb="FFFF0000"/>
        <rFont val="微軟正黑體"/>
        <family val="2"/>
        <charset val="136"/>
      </rPr>
      <t>展館倉庫/地毯/電力</t>
    </r>
    <r>
      <rPr>
        <sz val="10"/>
        <color theme="1" tint="0.14999847407452621"/>
        <rFont val="微軟正黑體"/>
        <family val="2"/>
        <charset val="136"/>
      </rPr>
      <t xml:space="preserve">  (電視另計)</t>
    </r>
    <phoneticPr fontId="8" type="noConversion"/>
  </si>
  <si>
    <r>
      <t>400*50*h100/h250cm組合展台(櫃身貼皮 附拉門.鎖) / 400*50cm燈箱看板(含全銜) /400*150cm 輸出海報(襯板)/10W 長柄投光燈*4 / 5A插座*4/ 折合椅</t>
    </r>
    <r>
      <rPr>
        <sz val="10"/>
        <rFont val="微軟正黑體"/>
        <family val="2"/>
        <charset val="136"/>
      </rPr>
      <t>*4</t>
    </r>
    <r>
      <rPr>
        <b/>
        <sz val="10"/>
        <rFont val="微軟正黑體"/>
        <family val="2"/>
        <charset val="136"/>
      </rPr>
      <t>/</t>
    </r>
    <r>
      <rPr>
        <b/>
        <sz val="10"/>
        <color rgb="FFFF0000"/>
        <rFont val="微軟正黑體"/>
        <family val="2"/>
        <charset val="136"/>
      </rPr>
      <t>展館倉庫/地毯/電力</t>
    </r>
    <r>
      <rPr>
        <sz val="10"/>
        <color theme="1" tint="0.14999847407452621"/>
        <rFont val="微軟正黑體"/>
        <family val="2"/>
        <charset val="136"/>
      </rPr>
      <t xml:space="preserve">  (42"電視另計)</t>
    </r>
    <phoneticPr fontId="8" type="noConversion"/>
  </si>
  <si>
    <t>依需求選配</t>
    <phoneticPr fontId="3" type="noConversion"/>
  </si>
  <si>
    <r>
      <t>參展單位-1個展位</t>
    </r>
    <r>
      <rPr>
        <b/>
        <sz val="12"/>
        <color rgb="FFFF0000"/>
        <rFont val="微軟正黑體"/>
        <family val="2"/>
        <charset val="136"/>
      </rPr>
      <t>200cm</t>
    </r>
    <phoneticPr fontId="8" type="noConversion"/>
  </si>
  <si>
    <r>
      <t xml:space="preserve">參展單位-2個展位
</t>
    </r>
    <r>
      <rPr>
        <b/>
        <sz val="12"/>
        <color rgb="FFFF0000"/>
        <rFont val="微軟正黑體"/>
        <family val="2"/>
        <charset val="136"/>
      </rPr>
      <t>400cm</t>
    </r>
    <phoneticPr fontId="8" type="noConversion"/>
  </si>
  <si>
    <t>依需求另計</t>
    <phoneticPr fontId="3" type="noConversion"/>
  </si>
  <si>
    <t>name</t>
  </si>
  <si>
    <t>employee_no</t>
  </si>
  <si>
    <t>王小明</t>
  </si>
  <si>
    <t>A001</t>
  </si>
  <si>
    <t>李雅婷</t>
  </si>
  <si>
    <t>A002</t>
  </si>
  <si>
    <t>陳志豪</t>
  </si>
  <si>
    <t>A003</t>
  </si>
  <si>
    <t>林欣怡</t>
  </si>
  <si>
    <t>A004</t>
  </si>
  <si>
    <t>張家豪</t>
  </si>
  <si>
    <t>A005</t>
  </si>
  <si>
    <t>黃怡君</t>
  </si>
  <si>
    <t>A006</t>
  </si>
  <si>
    <t>吳俊宏</t>
  </si>
  <si>
    <t>A007</t>
  </si>
  <si>
    <t>劉佩珊</t>
  </si>
  <si>
    <t>A008</t>
  </si>
  <si>
    <t>蔡宗翰</t>
  </si>
  <si>
    <t>A009</t>
  </si>
  <si>
    <t>鄭詩涵</t>
  </si>
  <si>
    <t>A010</t>
  </si>
  <si>
    <t>謝承恩</t>
  </si>
  <si>
    <t>A011</t>
  </si>
  <si>
    <t>洪婉婷</t>
  </si>
  <si>
    <t>A012</t>
  </si>
  <si>
    <t>曾柏翰</t>
  </si>
  <si>
    <t>A013</t>
  </si>
  <si>
    <t>賴品妤</t>
  </si>
  <si>
    <t>A014</t>
  </si>
  <si>
    <t>邱建宏</t>
  </si>
  <si>
    <t>A015</t>
  </si>
  <si>
    <t>周雅雯</t>
  </si>
  <si>
    <t>A016</t>
  </si>
  <si>
    <t>何俊傑</t>
  </si>
  <si>
    <t>A017</t>
  </si>
  <si>
    <t>蘇怡安</t>
  </si>
  <si>
    <t>A018</t>
  </si>
  <si>
    <t>許家瑋</t>
  </si>
  <si>
    <t>A019</t>
  </si>
  <si>
    <t>葉心瑜</t>
  </si>
  <si>
    <t>A020</t>
  </si>
  <si>
    <t>梁志遠</t>
  </si>
  <si>
    <t>A021</t>
  </si>
  <si>
    <t>羅淑芬</t>
  </si>
  <si>
    <t>A022</t>
  </si>
  <si>
    <t>高子涵</t>
  </si>
  <si>
    <t>A023</t>
  </si>
  <si>
    <t>潘志明</t>
  </si>
  <si>
    <t>A024</t>
  </si>
  <si>
    <t>簡佩穎</t>
  </si>
  <si>
    <t>A025</t>
  </si>
  <si>
    <t>鍾文賢</t>
  </si>
  <si>
    <t>A026</t>
  </si>
  <si>
    <t>魏嘉玲</t>
  </si>
  <si>
    <t>A027</t>
  </si>
  <si>
    <t>方建廷</t>
  </si>
  <si>
    <t>A028</t>
  </si>
  <si>
    <t>孫雅琪</t>
  </si>
  <si>
    <t>A029</t>
  </si>
  <si>
    <t>戴書豪</t>
  </si>
  <si>
    <t>A030</t>
  </si>
  <si>
    <t>江佳蓉</t>
  </si>
  <si>
    <t>A031</t>
  </si>
  <si>
    <t>杜冠宇</t>
  </si>
  <si>
    <t>A032</t>
  </si>
  <si>
    <t>余詠晴</t>
  </si>
  <si>
    <t>A033</t>
  </si>
  <si>
    <t>程偉倫</t>
  </si>
  <si>
    <t>A034</t>
  </si>
  <si>
    <t>傅怡婷</t>
  </si>
  <si>
    <t>A035</t>
  </si>
  <si>
    <t>段哲宇</t>
  </si>
  <si>
    <t>A036</t>
  </si>
  <si>
    <t>嚴品均</t>
  </si>
  <si>
    <t>A037</t>
  </si>
  <si>
    <t>施俊成</t>
  </si>
  <si>
    <t>A038</t>
  </si>
  <si>
    <t>白宜珊</t>
  </si>
  <si>
    <t>A039</t>
  </si>
  <si>
    <t>藍子翔</t>
  </si>
  <si>
    <t>A040</t>
  </si>
  <si>
    <t>石雅涵</t>
  </si>
  <si>
    <t>A041</t>
  </si>
  <si>
    <t>米冠廷</t>
  </si>
  <si>
    <t>A042</t>
  </si>
  <si>
    <t>熊思妤</t>
  </si>
  <si>
    <t>A043</t>
  </si>
  <si>
    <t>龔志豪</t>
  </si>
  <si>
    <t>A044</t>
  </si>
  <si>
    <t>翁珮瑜</t>
  </si>
  <si>
    <t>A045</t>
  </si>
  <si>
    <t>甘育誠</t>
  </si>
  <si>
    <t>A046</t>
  </si>
  <si>
    <t>紀婉君</t>
  </si>
  <si>
    <t>A047</t>
  </si>
  <si>
    <t>卓承翰</t>
  </si>
  <si>
    <t>A048</t>
  </si>
  <si>
    <t>夏書妤</t>
  </si>
  <si>
    <t>A049</t>
  </si>
  <si>
    <t>苗子軒</t>
  </si>
  <si>
    <t>A050</t>
  </si>
  <si>
    <t>王志偉</t>
  </si>
  <si>
    <t>A051</t>
  </si>
  <si>
    <t>李佳穎</t>
  </si>
  <si>
    <t>A052</t>
  </si>
  <si>
    <t>陳冠廷</t>
  </si>
  <si>
    <t>A053</t>
  </si>
  <si>
    <t>林詠婷</t>
  </si>
  <si>
    <t>A054</t>
  </si>
  <si>
    <t>張承勳</t>
  </si>
  <si>
    <t>A055</t>
  </si>
  <si>
    <t>黃筱涵</t>
  </si>
  <si>
    <t>A056</t>
  </si>
  <si>
    <t>吳柏毅</t>
  </si>
  <si>
    <t>A057</t>
  </si>
  <si>
    <t>劉怡萱</t>
  </si>
  <si>
    <t>A058</t>
  </si>
  <si>
    <t>蔡明哲</t>
  </si>
  <si>
    <t>A059</t>
  </si>
  <si>
    <t>鄭郁庭</t>
  </si>
  <si>
    <t>A060</t>
  </si>
  <si>
    <t>謝佳蓉</t>
  </si>
  <si>
    <t>A061</t>
  </si>
  <si>
    <t>洪志宏</t>
  </si>
  <si>
    <t>A062</t>
  </si>
  <si>
    <t>曾筱晴</t>
  </si>
  <si>
    <t>A063</t>
  </si>
  <si>
    <t>賴俊宇</t>
  </si>
  <si>
    <t>A064</t>
  </si>
  <si>
    <t>邱雅婷</t>
  </si>
  <si>
    <t>A065</t>
  </si>
  <si>
    <t>周信宏</t>
  </si>
  <si>
    <t>A066</t>
  </si>
  <si>
    <t>何品妤</t>
  </si>
  <si>
    <t>A067</t>
  </si>
  <si>
    <t>蘇哲豪</t>
  </si>
  <si>
    <t>A068</t>
  </si>
  <si>
    <t>許婉瑜</t>
  </si>
  <si>
    <t>A069</t>
  </si>
  <si>
    <t>葉俊廷</t>
  </si>
  <si>
    <t>A070</t>
  </si>
  <si>
    <t>梁雅雯</t>
  </si>
  <si>
    <t>A071</t>
  </si>
  <si>
    <t>羅柏辰</t>
  </si>
  <si>
    <t>A072</t>
  </si>
  <si>
    <t>高怡婷</t>
  </si>
  <si>
    <t>A073</t>
  </si>
  <si>
    <t>潘子豪</t>
  </si>
  <si>
    <t>A074</t>
  </si>
  <si>
    <t>簡詠芯</t>
  </si>
  <si>
    <t>A075</t>
  </si>
  <si>
    <t>鍾承翰</t>
  </si>
  <si>
    <t>A076</t>
  </si>
  <si>
    <t>魏雅琪</t>
  </si>
  <si>
    <t>A077</t>
  </si>
  <si>
    <t>方志遠</t>
  </si>
  <si>
    <t>A078</t>
  </si>
  <si>
    <t>孫佩珊</t>
  </si>
  <si>
    <t>A079</t>
  </si>
  <si>
    <t>戴家豪</t>
  </si>
  <si>
    <t>A080</t>
  </si>
  <si>
    <t>江怡君</t>
  </si>
  <si>
    <t>A081</t>
  </si>
  <si>
    <t>杜俊瑋</t>
  </si>
  <si>
    <t>A082</t>
  </si>
  <si>
    <t>余子涵</t>
  </si>
  <si>
    <t>A083</t>
  </si>
  <si>
    <t>程志成</t>
  </si>
  <si>
    <t>A084</t>
  </si>
  <si>
    <t>傅雅婷</t>
  </si>
  <si>
    <t>A085</t>
  </si>
  <si>
    <t>段承宇</t>
  </si>
  <si>
    <t>A086</t>
  </si>
  <si>
    <t>嚴佳穎</t>
  </si>
  <si>
    <t>A087</t>
  </si>
  <si>
    <t>施冠霖</t>
  </si>
  <si>
    <t>A088</t>
  </si>
  <si>
    <t>白詩涵</t>
  </si>
  <si>
    <t>A089</t>
  </si>
  <si>
    <t>藍俊宏</t>
  </si>
  <si>
    <t>A090</t>
  </si>
  <si>
    <t>石佩穎</t>
  </si>
  <si>
    <t>A091</t>
  </si>
  <si>
    <t>米承翰</t>
  </si>
  <si>
    <t>A092</t>
  </si>
  <si>
    <t>熊怡婷</t>
  </si>
  <si>
    <t>A093</t>
  </si>
  <si>
    <t>龔家瑋</t>
  </si>
  <si>
    <t>A094</t>
  </si>
  <si>
    <t>翁詠晴</t>
  </si>
  <si>
    <t>A095</t>
  </si>
  <si>
    <t>甘志豪</t>
  </si>
  <si>
    <t>A096</t>
  </si>
  <si>
    <t>紀子瑜</t>
  </si>
  <si>
    <t>A097</t>
  </si>
  <si>
    <t>卓俊廷</t>
  </si>
  <si>
    <t>A098</t>
  </si>
  <si>
    <t>夏雅雯</t>
  </si>
  <si>
    <t>A099</t>
  </si>
  <si>
    <t>苗冠宇</t>
  </si>
  <si>
    <t>A100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</si>
</sst>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&quot;$&quot;* #,##0.00_-;\-&quot;$&quot;* #,##0.00_-;_-&quot;$&quot;* &quot;-&quot;??_-;_-@_-"/>
    <numFmt numFmtId="177" formatCode="0_);[Red]\(0\)"/>
    <numFmt numFmtId="178" formatCode="&quot;NT$&quot;#,##0_);[Red]\(&quot;NT$&quot;#,##0\)"/>
    <numFmt numFmtId="179" formatCode="_-&quot;$&quot;* #,##0_-;\-&quot;$&quot;* #,##0_-;_-&quot;$&quot;* &quot;-&quot;??_-;_-@_-"/>
  </numFmts>
  <fonts count="61">
    <font>
      <sz val="12"/>
      <color theme="1"/>
      <name val="新細明體"/>
      <family val="2"/>
      <charset val="136"/>
      <scheme val="minor"/>
    </font>
    <font>
      <sz val="18"/>
      <name val="Calibri"/>
      <family val="2"/>
    </font>
    <font>
      <sz val="18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name val="Calibri"/>
      <family val="2"/>
    </font>
    <font>
      <sz val="14"/>
      <name val="Calibri"/>
      <family val="2"/>
    </font>
    <font>
      <sz val="14"/>
      <name val="微軟正黑體"/>
      <family val="2"/>
      <charset val="136"/>
    </font>
    <font>
      <sz val="9"/>
      <name val="細明體"/>
      <family val="3"/>
      <charset val="136"/>
    </font>
    <font>
      <b/>
      <sz val="14"/>
      <name val="微軟正黑體"/>
      <family val="2"/>
      <charset val="136"/>
    </font>
    <font>
      <sz val="9"/>
      <name val="宋体"/>
      <family val="3"/>
      <charset val="136"/>
    </font>
    <font>
      <sz val="12"/>
      <color indexed="10"/>
      <name val="Calibri"/>
      <family val="2"/>
    </font>
    <font>
      <sz val="16"/>
      <name val="Calibri"/>
      <family val="2"/>
    </font>
    <font>
      <sz val="16"/>
      <name val="微軟正黑體"/>
      <family val="2"/>
      <charset val="136"/>
    </font>
    <font>
      <sz val="12"/>
      <name val="微軟正黑體"/>
      <family val="2"/>
      <charset val="136"/>
    </font>
    <font>
      <sz val="16"/>
      <name val="新細明體"/>
      <family val="1"/>
      <charset val="136"/>
    </font>
    <font>
      <sz val="12"/>
      <color theme="1" tint="0.14999847407452621"/>
      <name val="微軟正黑體"/>
      <family val="2"/>
      <charset val="136"/>
    </font>
    <font>
      <sz val="14"/>
      <color theme="1" tint="0.14999847407452621"/>
      <name val="微軟正黑體"/>
      <family val="2"/>
      <charset val="136"/>
    </font>
    <font>
      <b/>
      <sz val="14"/>
      <color theme="1" tint="0.14999847407452621"/>
      <name val="微軟正黑體"/>
      <family val="2"/>
      <charset val="136"/>
    </font>
    <font>
      <b/>
      <sz val="14"/>
      <color theme="1" tint="0.14999847407452621"/>
      <name val="新細明體"/>
      <family val="1"/>
      <charset val="136"/>
    </font>
    <font>
      <b/>
      <sz val="14"/>
      <color theme="1"/>
      <name val="新細明體"/>
      <family val="2"/>
      <charset val="136"/>
      <scheme val="minor"/>
    </font>
    <font>
      <b/>
      <sz val="12"/>
      <color theme="1"/>
      <name val="微軟正黑體"/>
      <family val="2"/>
      <charset val="136"/>
    </font>
    <font>
      <sz val="12"/>
      <name val="Yu Gothic UI"/>
      <family val="2"/>
      <charset val="128"/>
    </font>
    <font>
      <b/>
      <sz val="16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4"/>
      <color theme="1" tint="0.14999847407452621"/>
      <name val="微軟正黑體"/>
      <family val="1"/>
      <charset val="136"/>
    </font>
    <font>
      <b/>
      <sz val="14"/>
      <color theme="1"/>
      <name val="微軟正黑體"/>
      <family val="2"/>
      <charset val="136"/>
    </font>
    <font>
      <sz val="14"/>
      <name val="Yu Gothic UI"/>
      <family val="2"/>
      <charset val="128"/>
    </font>
    <font>
      <sz val="14"/>
      <color theme="1" tint="0.14999847407452621"/>
      <name val="Yu Gothic UI"/>
      <family val="2"/>
      <charset val="128"/>
    </font>
    <font>
      <sz val="12"/>
      <name val="Calibri"/>
      <family val="2"/>
      <charset val="136"/>
    </font>
    <font>
      <sz val="14"/>
      <color rgb="FFFF0000"/>
      <name val="Yu Gothic UI"/>
      <family val="2"/>
      <charset val="128"/>
    </font>
    <font>
      <sz val="14"/>
      <color rgb="FFFF000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2"/>
      <color theme="1"/>
      <name val="新細明體"/>
      <family val="2"/>
      <charset val="136"/>
      <scheme val="minor"/>
    </font>
    <font>
      <b/>
      <sz val="12"/>
      <color rgb="FFFF0000"/>
      <name val="微軟正黑體"/>
      <family val="2"/>
      <charset val="136"/>
    </font>
    <font>
      <strike/>
      <sz val="14"/>
      <color rgb="FFFF0000"/>
      <name val="Yu Gothic UI"/>
      <family val="2"/>
      <charset val="128"/>
    </font>
    <font>
      <b/>
      <sz val="12"/>
      <color theme="1"/>
      <name val="新細明體"/>
      <family val="1"/>
      <charset val="136"/>
      <scheme val="minor"/>
    </font>
    <font>
      <b/>
      <sz val="12"/>
      <color rgb="FFFF0000"/>
      <name val="Calibri"/>
      <family val="2"/>
      <charset val="136"/>
    </font>
    <font>
      <b/>
      <sz val="12"/>
      <color rgb="FFFF0000"/>
      <name val="Calibri"/>
      <family val="2"/>
    </font>
    <font>
      <b/>
      <sz val="12"/>
      <name val="微軟正黑體"/>
      <family val="2"/>
      <charset val="136"/>
    </font>
    <font>
      <b/>
      <sz val="12"/>
      <color rgb="FF0070C0"/>
      <name val="Calibri"/>
      <family val="2"/>
    </font>
    <font>
      <b/>
      <sz val="15"/>
      <color theme="0"/>
      <name val="Calibri"/>
      <family val="2"/>
    </font>
    <font>
      <b/>
      <sz val="14"/>
      <name val="Yu Gothic UI"/>
      <family val="2"/>
      <charset val="128"/>
    </font>
    <font>
      <b/>
      <sz val="15"/>
      <color rgb="FFFF0000"/>
      <name val="微軟正黑體"/>
      <family val="2"/>
      <charset val="136"/>
    </font>
    <font>
      <sz val="12"/>
      <color theme="1"/>
      <name val="Calibri"/>
      <family val="2"/>
    </font>
    <font>
      <sz val="12"/>
      <color theme="1"/>
      <name val="Times New Roman"/>
      <family val="1"/>
    </font>
    <font>
      <sz val="14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b/>
      <sz val="14"/>
      <color theme="1"/>
      <name val="標楷體"/>
      <family val="4"/>
      <charset val="136"/>
    </font>
    <font>
      <b/>
      <sz val="14"/>
      <color rgb="FF000000"/>
      <name val="標楷體"/>
      <family val="4"/>
      <charset val="136"/>
    </font>
    <font>
      <sz val="12"/>
      <color theme="2" tint="-0.249977111117893"/>
      <name val="標楷體"/>
      <family val="4"/>
      <charset val="136"/>
    </font>
    <font>
      <b/>
      <sz val="14"/>
      <color rgb="FFFF0000"/>
      <name val="微軟正黑體"/>
      <family val="2"/>
      <charset val="136"/>
    </font>
    <font>
      <b/>
      <sz val="15"/>
      <name val="Calibri"/>
      <family val="2"/>
    </font>
    <font>
      <b/>
      <sz val="14"/>
      <color theme="2" tint="-0.249977111117893"/>
      <name val="標楷體"/>
      <family val="4"/>
      <charset val="136"/>
    </font>
    <font>
      <b/>
      <sz val="20"/>
      <color rgb="FFFF0000"/>
      <name val="Calibri"/>
      <family val="2"/>
    </font>
    <font>
      <b/>
      <sz val="15"/>
      <name val="微軟正黑體"/>
      <family val="2"/>
      <charset val="136"/>
    </font>
    <font>
      <sz val="10"/>
      <color theme="1" tint="0.14999847407452621"/>
      <name val="微軟正黑體"/>
      <family val="2"/>
      <charset val="136"/>
    </font>
    <font>
      <sz val="10"/>
      <name val="Calibri"/>
      <family val="2"/>
    </font>
    <font>
      <b/>
      <sz val="10"/>
      <color rgb="FFFF0000"/>
      <name val="微軟正黑體"/>
      <family val="2"/>
      <charset val="136"/>
    </font>
    <font>
      <sz val="10"/>
      <name val="微軟正黑體"/>
      <family val="2"/>
      <charset val="136"/>
    </font>
    <font>
      <b/>
      <sz val="10"/>
      <name val="微軟正黑體"/>
      <family val="2"/>
      <charset val="136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2">
    <xf numFmtId="0" fontId="0" fillId="0" borderId="0">
      <alignment vertical="center"/>
    </xf>
    <xf numFmtId="176" fontId="33" fillId="0" borderId="0" applyFont="0" applyFill="0" applyBorder="0" applyAlignment="0" applyProtection="0">
      <alignment vertical="center"/>
    </xf>
  </cellStyleXfs>
  <cellXfs count="221">
    <xf numFmtId="0" fontId="0" fillId="0" borderId="0" xfId="0">
      <alignment vertical="center"/>
    </xf>
    <xf numFmtId="0" fontId="5" fillId="0" borderId="0" xfId="0" applyFont="1" applyAlignment="1"/>
    <xf numFmtId="0" fontId="5" fillId="0" borderId="2" xfId="0" applyFont="1" applyBorder="1" applyAlignment="1"/>
    <xf numFmtId="0" fontId="5" fillId="0" borderId="2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1" fillId="2" borderId="0" xfId="0" applyFont="1" applyFill="1" applyAlignment="1">
      <alignment vertical="center" wrapText="1"/>
    </xf>
    <xf numFmtId="0" fontId="7" fillId="2" borderId="6" xfId="0" applyFont="1" applyFill="1" applyBorder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5" fillId="0" borderId="16" xfId="0" applyFont="1" applyBorder="1" applyAlignment="1"/>
    <xf numFmtId="0" fontId="5" fillId="0" borderId="17" xfId="0" applyFont="1" applyBorder="1" applyAlignment="1"/>
    <xf numFmtId="0" fontId="12" fillId="0" borderId="18" xfId="0" applyFont="1" applyBorder="1" applyAlignment="1"/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/>
    <xf numFmtId="0" fontId="5" fillId="0" borderId="19" xfId="0" applyFont="1" applyBorder="1" applyAlignment="1"/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7" fillId="0" borderId="0" xfId="0" applyFont="1" applyAlignment="1"/>
    <xf numFmtId="0" fontId="16" fillId="0" borderId="6" xfId="0" applyFont="1" applyBorder="1" applyAlignment="1">
      <alignment horizontal="left" vertical="center" wrapText="1"/>
    </xf>
    <xf numFmtId="0" fontId="16" fillId="0" borderId="24" xfId="0" applyFont="1" applyBorder="1" applyAlignment="1">
      <alignment horizontal="left" vertical="center" wrapText="1"/>
    </xf>
    <xf numFmtId="0" fontId="7" fillId="2" borderId="6" xfId="0" applyFont="1" applyFill="1" applyBorder="1" applyAlignment="1">
      <alignment horizontal="left" vertical="center" wrapText="1"/>
    </xf>
    <xf numFmtId="0" fontId="27" fillId="0" borderId="0" xfId="0" applyFont="1" applyAlignment="1">
      <alignment horizontal="center"/>
    </xf>
    <xf numFmtId="0" fontId="22" fillId="0" borderId="0" xfId="0" applyFont="1" applyAlignment="1"/>
    <xf numFmtId="49" fontId="27" fillId="0" borderId="23" xfId="0" applyNumberFormat="1" applyFont="1" applyBorder="1" applyAlignment="1">
      <alignment horizontal="center" vertical="center"/>
    </xf>
    <xf numFmtId="49" fontId="27" fillId="0" borderId="3" xfId="0" applyNumberFormat="1" applyFont="1" applyBorder="1" applyAlignment="1">
      <alignment horizontal="center" vertical="center"/>
    </xf>
    <xf numFmtId="0" fontId="14" fillId="0" borderId="30" xfId="0" applyFont="1" applyBorder="1" applyAlignment="1">
      <alignment horizontal="left" vertical="center"/>
    </xf>
    <xf numFmtId="0" fontId="16" fillId="0" borderId="4" xfId="0" applyFont="1" applyBorder="1" applyAlignment="1">
      <alignment horizontal="left" vertical="center" wrapText="1"/>
    </xf>
    <xf numFmtId="49" fontId="27" fillId="0" borderId="31" xfId="0" applyNumberFormat="1" applyFont="1" applyBorder="1" applyAlignment="1">
      <alignment horizontal="center" vertical="center"/>
    </xf>
    <xf numFmtId="0" fontId="16" fillId="0" borderId="32" xfId="0" applyFont="1" applyBorder="1" applyAlignment="1">
      <alignment horizontal="left" vertical="center" wrapText="1"/>
    </xf>
    <xf numFmtId="0" fontId="16" fillId="0" borderId="10" xfId="0" applyFont="1" applyBorder="1" applyAlignment="1">
      <alignment horizontal="left" vertical="center" wrapText="1"/>
    </xf>
    <xf numFmtId="0" fontId="16" fillId="0" borderId="30" xfId="0" applyFont="1" applyBorder="1" applyAlignment="1">
      <alignment horizontal="left" vertical="center" wrapText="1"/>
    </xf>
    <xf numFmtId="0" fontId="16" fillId="0" borderId="26" xfId="0" applyFont="1" applyBorder="1" applyAlignment="1">
      <alignment horizontal="left" vertical="center" wrapText="1"/>
    </xf>
    <xf numFmtId="49" fontId="16" fillId="0" borderId="26" xfId="0" applyNumberFormat="1" applyFont="1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38" fontId="16" fillId="0" borderId="26" xfId="0" applyNumberFormat="1" applyFont="1" applyBorder="1" applyAlignment="1">
      <alignment horizontal="right" vertical="center"/>
    </xf>
    <xf numFmtId="38" fontId="16" fillId="0" borderId="27" xfId="0" applyNumberFormat="1" applyFont="1" applyBorder="1" applyAlignment="1">
      <alignment horizontal="right" vertical="center"/>
    </xf>
    <xf numFmtId="0" fontId="7" fillId="2" borderId="4" xfId="0" applyFont="1" applyFill="1" applyBorder="1" applyAlignment="1">
      <alignment vertical="center" wrapText="1"/>
    </xf>
    <xf numFmtId="0" fontId="7" fillId="2" borderId="4" xfId="0" applyFont="1" applyFill="1" applyBorder="1" applyAlignment="1">
      <alignment horizontal="left" vertical="center" wrapText="1"/>
    </xf>
    <xf numFmtId="49" fontId="27" fillId="0" borderId="8" xfId="0" applyNumberFormat="1" applyFont="1" applyBorder="1" applyAlignment="1">
      <alignment horizontal="center" vertical="center"/>
    </xf>
    <xf numFmtId="49" fontId="7" fillId="2" borderId="4" xfId="0" applyNumberFormat="1" applyFont="1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>
      <alignment horizontal="center" vertical="center" wrapText="1"/>
    </xf>
    <xf numFmtId="49" fontId="17" fillId="0" borderId="4" xfId="0" applyNumberFormat="1" applyFont="1" applyBorder="1" applyAlignment="1">
      <alignment horizontal="center" vertical="center"/>
    </xf>
    <xf numFmtId="49" fontId="17" fillId="0" borderId="10" xfId="0" applyNumberFormat="1" applyFont="1" applyBorder="1" applyAlignment="1">
      <alignment horizontal="center" vertical="center"/>
    </xf>
    <xf numFmtId="49" fontId="17" fillId="0" borderId="6" xfId="0" applyNumberFormat="1" applyFont="1" applyBorder="1" applyAlignment="1">
      <alignment horizontal="center" vertical="center"/>
    </xf>
    <xf numFmtId="0" fontId="16" fillId="0" borderId="33" xfId="0" applyFont="1" applyBorder="1" applyAlignment="1">
      <alignment horizontal="left" vertical="center" wrapText="1"/>
    </xf>
    <xf numFmtId="0" fontId="14" fillId="0" borderId="0" xfId="0" applyFont="1" applyAlignment="1"/>
    <xf numFmtId="49" fontId="7" fillId="0" borderId="23" xfId="0" applyNumberFormat="1" applyFont="1" applyBorder="1" applyAlignment="1">
      <alignment horizontal="center" vertical="center"/>
    </xf>
    <xf numFmtId="49" fontId="7" fillId="0" borderId="31" xfId="0" applyNumberFormat="1" applyFont="1" applyBorder="1" applyAlignment="1">
      <alignment horizontal="center" vertical="center"/>
    </xf>
    <xf numFmtId="177" fontId="27" fillId="2" borderId="4" xfId="0" applyNumberFormat="1" applyFont="1" applyFill="1" applyBorder="1" applyAlignment="1">
      <alignment horizontal="center" vertical="center" wrapText="1"/>
    </xf>
    <xf numFmtId="37" fontId="27" fillId="2" borderId="4" xfId="0" applyNumberFormat="1" applyFont="1" applyFill="1" applyBorder="1" applyAlignment="1">
      <alignment horizontal="right" vertical="center" wrapText="1"/>
    </xf>
    <xf numFmtId="37" fontId="27" fillId="2" borderId="5" xfId="0" applyNumberFormat="1" applyFont="1" applyFill="1" applyBorder="1" applyAlignment="1">
      <alignment horizontal="right" vertical="center" wrapText="1"/>
    </xf>
    <xf numFmtId="177" fontId="27" fillId="2" borderId="6" xfId="0" applyNumberFormat="1" applyFont="1" applyFill="1" applyBorder="1" applyAlignment="1">
      <alignment horizontal="center" vertical="center" wrapText="1"/>
    </xf>
    <xf numFmtId="37" fontId="27" fillId="2" borderId="6" xfId="0" applyNumberFormat="1" applyFont="1" applyFill="1" applyBorder="1" applyAlignment="1">
      <alignment horizontal="right" vertical="center" wrapText="1"/>
    </xf>
    <xf numFmtId="37" fontId="27" fillId="2" borderId="7" xfId="0" applyNumberFormat="1" applyFont="1" applyFill="1" applyBorder="1" applyAlignment="1">
      <alignment horizontal="right" vertical="center" wrapText="1"/>
    </xf>
    <xf numFmtId="0" fontId="28" fillId="0" borderId="4" xfId="0" applyFont="1" applyBorder="1" applyAlignment="1">
      <alignment horizontal="center" vertical="center"/>
    </xf>
    <xf numFmtId="38" fontId="28" fillId="0" borderId="4" xfId="0" applyNumberFormat="1" applyFont="1" applyBorder="1" applyAlignment="1">
      <alignment horizontal="right" vertical="center"/>
    </xf>
    <xf numFmtId="0" fontId="28" fillId="0" borderId="10" xfId="0" applyFont="1" applyBorder="1" applyAlignment="1">
      <alignment horizontal="center" vertical="center"/>
    </xf>
    <xf numFmtId="38" fontId="28" fillId="0" borderId="10" xfId="0" applyNumberFormat="1" applyFont="1" applyBorder="1" applyAlignment="1">
      <alignment horizontal="right" vertical="center"/>
    </xf>
    <xf numFmtId="38" fontId="28" fillId="0" borderId="5" xfId="0" applyNumberFormat="1" applyFont="1" applyBorder="1" applyAlignment="1">
      <alignment horizontal="right" vertical="center"/>
    </xf>
    <xf numFmtId="38" fontId="28" fillId="0" borderId="11" xfId="0" applyNumberFormat="1" applyFont="1" applyBorder="1" applyAlignment="1">
      <alignment horizontal="right" vertical="center"/>
    </xf>
    <xf numFmtId="38" fontId="27" fillId="0" borderId="4" xfId="0" applyNumberFormat="1" applyFont="1" applyBorder="1" applyAlignment="1">
      <alignment horizontal="right" vertical="center"/>
    </xf>
    <xf numFmtId="38" fontId="27" fillId="0" borderId="5" xfId="0" applyNumberFormat="1" applyFont="1" applyBorder="1" applyAlignment="1">
      <alignment horizontal="right" vertical="center"/>
    </xf>
    <xf numFmtId="0" fontId="28" fillId="0" borderId="6" xfId="0" applyFont="1" applyBorder="1" applyAlignment="1">
      <alignment horizontal="center" vertical="center"/>
    </xf>
    <xf numFmtId="38" fontId="27" fillId="0" borderId="6" xfId="0" applyNumberFormat="1" applyFont="1" applyBorder="1" applyAlignment="1">
      <alignment horizontal="right" vertical="center"/>
    </xf>
    <xf numFmtId="38" fontId="27" fillId="0" borderId="7" xfId="0" applyNumberFormat="1" applyFont="1" applyBorder="1" applyAlignment="1">
      <alignment horizontal="right" vertical="center"/>
    </xf>
    <xf numFmtId="38" fontId="27" fillId="0" borderId="10" xfId="0" applyNumberFormat="1" applyFont="1" applyBorder="1" applyAlignment="1">
      <alignment horizontal="right" vertical="center"/>
    </xf>
    <xf numFmtId="38" fontId="27" fillId="0" borderId="11" xfId="0" applyNumberFormat="1" applyFont="1" applyBorder="1" applyAlignment="1">
      <alignment horizontal="right" vertical="center"/>
    </xf>
    <xf numFmtId="38" fontId="28" fillId="0" borderId="6" xfId="0" applyNumberFormat="1" applyFont="1" applyBorder="1" applyAlignment="1">
      <alignment horizontal="right" vertical="center"/>
    </xf>
    <xf numFmtId="38" fontId="28" fillId="0" borderId="7" xfId="0" applyNumberFormat="1" applyFont="1" applyBorder="1" applyAlignment="1">
      <alignment horizontal="right" vertical="center"/>
    </xf>
    <xf numFmtId="49" fontId="27" fillId="3" borderId="23" xfId="0" applyNumberFormat="1" applyFont="1" applyFill="1" applyBorder="1" applyAlignment="1">
      <alignment horizontal="center" vertical="center"/>
    </xf>
    <xf numFmtId="0" fontId="16" fillId="3" borderId="24" xfId="0" applyFont="1" applyFill="1" applyBorder="1" applyAlignment="1">
      <alignment horizontal="left" vertical="center" wrapText="1"/>
    </xf>
    <xf numFmtId="0" fontId="16" fillId="3" borderId="6" xfId="0" applyFont="1" applyFill="1" applyBorder="1" applyAlignment="1">
      <alignment horizontal="left" vertical="center" wrapText="1"/>
    </xf>
    <xf numFmtId="49" fontId="17" fillId="3" borderId="6" xfId="0" applyNumberFormat="1" applyFont="1" applyFill="1" applyBorder="1" applyAlignment="1">
      <alignment horizontal="center" vertical="center"/>
    </xf>
    <xf numFmtId="0" fontId="28" fillId="3" borderId="6" xfId="0" applyFont="1" applyFill="1" applyBorder="1" applyAlignment="1">
      <alignment horizontal="center" vertical="center"/>
    </xf>
    <xf numFmtId="38" fontId="28" fillId="3" borderId="6" xfId="0" applyNumberFormat="1" applyFont="1" applyFill="1" applyBorder="1" applyAlignment="1">
      <alignment horizontal="right" vertical="center"/>
    </xf>
    <xf numFmtId="0" fontId="30" fillId="3" borderId="6" xfId="0" applyFont="1" applyFill="1" applyBorder="1" applyAlignment="1">
      <alignment horizontal="center" vertical="center"/>
    </xf>
    <xf numFmtId="38" fontId="30" fillId="3" borderId="7" xfId="0" applyNumberFormat="1" applyFont="1" applyFill="1" applyBorder="1" applyAlignment="1">
      <alignment horizontal="right" vertical="center"/>
    </xf>
    <xf numFmtId="49" fontId="27" fillId="3" borderId="3" xfId="0" applyNumberFormat="1" applyFont="1" applyFill="1" applyBorder="1" applyAlignment="1">
      <alignment horizontal="center" vertical="center"/>
    </xf>
    <xf numFmtId="0" fontId="16" fillId="3" borderId="30" xfId="0" applyFont="1" applyFill="1" applyBorder="1" applyAlignment="1">
      <alignment horizontal="left" vertical="center" wrapText="1"/>
    </xf>
    <xf numFmtId="0" fontId="16" fillId="3" borderId="4" xfId="0" applyFont="1" applyFill="1" applyBorder="1" applyAlignment="1">
      <alignment horizontal="left" vertical="center" wrapText="1"/>
    </xf>
    <xf numFmtId="49" fontId="17" fillId="3" borderId="4" xfId="0" applyNumberFormat="1" applyFont="1" applyFill="1" applyBorder="1" applyAlignment="1">
      <alignment horizontal="center" vertical="center"/>
    </xf>
    <xf numFmtId="38" fontId="28" fillId="3" borderId="4" xfId="0" applyNumberFormat="1" applyFont="1" applyFill="1" applyBorder="1" applyAlignment="1">
      <alignment horizontal="right" vertical="center"/>
    </xf>
    <xf numFmtId="0" fontId="30" fillId="3" borderId="4" xfId="0" applyFont="1" applyFill="1" applyBorder="1" applyAlignment="1">
      <alignment horizontal="center" vertical="center"/>
    </xf>
    <xf numFmtId="38" fontId="30" fillId="3" borderId="5" xfId="0" applyNumberFormat="1" applyFont="1" applyFill="1" applyBorder="1" applyAlignment="1">
      <alignment horizontal="right" vertical="center"/>
    </xf>
    <xf numFmtId="49" fontId="30" fillId="3" borderId="23" xfId="0" applyNumberFormat="1" applyFont="1" applyFill="1" applyBorder="1" applyAlignment="1">
      <alignment horizontal="center" vertical="center"/>
    </xf>
    <xf numFmtId="0" fontId="32" fillId="3" borderId="24" xfId="0" applyFont="1" applyFill="1" applyBorder="1" applyAlignment="1">
      <alignment horizontal="left" vertical="center" wrapText="1"/>
    </xf>
    <xf numFmtId="0" fontId="32" fillId="3" borderId="6" xfId="0" applyFont="1" applyFill="1" applyBorder="1" applyAlignment="1">
      <alignment horizontal="left" vertical="center" wrapText="1"/>
    </xf>
    <xf numFmtId="49" fontId="31" fillId="3" borderId="6" xfId="0" applyNumberFormat="1" applyFont="1" applyFill="1" applyBorder="1" applyAlignment="1">
      <alignment horizontal="center" vertical="center"/>
    </xf>
    <xf numFmtId="38" fontId="30" fillId="3" borderId="6" xfId="0" applyNumberFormat="1" applyFont="1" applyFill="1" applyBorder="1" applyAlignment="1">
      <alignment horizontal="right" vertical="center"/>
    </xf>
    <xf numFmtId="49" fontId="7" fillId="3" borderId="23" xfId="0" applyNumberFormat="1" applyFont="1" applyFill="1" applyBorder="1" applyAlignment="1">
      <alignment horizontal="center" vertical="center"/>
    </xf>
    <xf numFmtId="49" fontId="30" fillId="3" borderId="9" xfId="0" applyNumberFormat="1" applyFont="1" applyFill="1" applyBorder="1" applyAlignment="1">
      <alignment horizontal="center" vertical="center"/>
    </xf>
    <xf numFmtId="0" fontId="31" fillId="3" borderId="10" xfId="0" applyFont="1" applyFill="1" applyBorder="1" applyAlignment="1">
      <alignment vertical="center" wrapText="1"/>
    </xf>
    <xf numFmtId="0" fontId="31" fillId="3" borderId="10" xfId="0" applyFont="1" applyFill="1" applyBorder="1" applyAlignment="1">
      <alignment horizontal="left" vertical="center" wrapText="1"/>
    </xf>
    <xf numFmtId="49" fontId="31" fillId="3" borderId="10" xfId="0" applyNumberFormat="1" applyFont="1" applyFill="1" applyBorder="1" applyAlignment="1">
      <alignment horizontal="center" vertical="center" wrapText="1"/>
    </xf>
    <xf numFmtId="177" fontId="30" fillId="3" borderId="10" xfId="0" applyNumberFormat="1" applyFont="1" applyFill="1" applyBorder="1" applyAlignment="1">
      <alignment horizontal="center" vertical="center" wrapText="1"/>
    </xf>
    <xf numFmtId="37" fontId="30" fillId="3" borderId="10" xfId="0" applyNumberFormat="1" applyFont="1" applyFill="1" applyBorder="1" applyAlignment="1">
      <alignment horizontal="right" vertical="center" wrapText="1"/>
    </xf>
    <xf numFmtId="37" fontId="30" fillId="3" borderId="11" xfId="0" applyNumberFormat="1" applyFont="1" applyFill="1" applyBorder="1" applyAlignment="1">
      <alignment horizontal="right" vertical="center" wrapText="1"/>
    </xf>
    <xf numFmtId="0" fontId="5" fillId="0" borderId="0" xfId="0" applyFont="1" applyAlignment="1">
      <alignment horizontal="left" vertical="center"/>
    </xf>
    <xf numFmtId="0" fontId="14" fillId="4" borderId="6" xfId="0" applyFont="1" applyFill="1" applyBorder="1" applyAlignment="1">
      <alignment horizontal="left" vertical="center"/>
    </xf>
    <xf numFmtId="0" fontId="5" fillId="4" borderId="6" xfId="0" applyFont="1" applyFill="1" applyBorder="1" applyAlignment="1">
      <alignment horizontal="left" vertical="center"/>
    </xf>
    <xf numFmtId="0" fontId="29" fillId="4" borderId="6" xfId="0" applyFont="1" applyFill="1" applyBorder="1" applyAlignment="1">
      <alignment horizontal="left" vertical="center"/>
    </xf>
    <xf numFmtId="0" fontId="29" fillId="4" borderId="6" xfId="0" applyFont="1" applyFill="1" applyBorder="1" applyAlignment="1">
      <alignment horizontal="left" vertical="center" wrapText="1"/>
    </xf>
    <xf numFmtId="178" fontId="27" fillId="0" borderId="0" xfId="0" applyNumberFormat="1" applyFont="1" applyAlignment="1"/>
    <xf numFmtId="0" fontId="35" fillId="3" borderId="6" xfId="0" applyFont="1" applyFill="1" applyBorder="1" applyAlignment="1">
      <alignment horizontal="center" vertical="center"/>
    </xf>
    <xf numFmtId="0" fontId="36" fillId="3" borderId="0" xfId="0" applyFont="1" applyFill="1" applyAlignment="1">
      <alignment horizontal="center" vertical="center"/>
    </xf>
    <xf numFmtId="0" fontId="37" fillId="5" borderId="0" xfId="0" applyFont="1" applyFill="1" applyAlignment="1">
      <alignment vertical="center" wrapText="1"/>
    </xf>
    <xf numFmtId="49" fontId="31" fillId="6" borderId="9" xfId="0" applyNumberFormat="1" applyFont="1" applyFill="1" applyBorder="1" applyAlignment="1">
      <alignment horizontal="center" vertical="center"/>
    </xf>
    <xf numFmtId="0" fontId="32" fillId="6" borderId="10" xfId="0" applyFont="1" applyFill="1" applyBorder="1" applyAlignment="1">
      <alignment horizontal="left" vertical="center" wrapText="1"/>
    </xf>
    <xf numFmtId="49" fontId="31" fillId="6" borderId="10" xfId="0" applyNumberFormat="1" applyFont="1" applyFill="1" applyBorder="1" applyAlignment="1">
      <alignment horizontal="center" vertical="center"/>
    </xf>
    <xf numFmtId="0" fontId="30" fillId="6" borderId="10" xfId="0" applyFont="1" applyFill="1" applyBorder="1" applyAlignment="1">
      <alignment horizontal="center" vertical="center"/>
    </xf>
    <xf numFmtId="38" fontId="30" fillId="6" borderId="10" xfId="0" applyNumberFormat="1" applyFont="1" applyFill="1" applyBorder="1" applyAlignment="1">
      <alignment horizontal="right" vertical="center"/>
    </xf>
    <xf numFmtId="38" fontId="30" fillId="6" borderId="11" xfId="0" applyNumberFormat="1" applyFont="1" applyFill="1" applyBorder="1" applyAlignment="1">
      <alignment horizontal="right" vertical="center"/>
    </xf>
    <xf numFmtId="49" fontId="27" fillId="6" borderId="3" xfId="0" applyNumberFormat="1" applyFont="1" applyFill="1" applyBorder="1" applyAlignment="1">
      <alignment horizontal="center" vertical="center"/>
    </xf>
    <xf numFmtId="0" fontId="16" fillId="6" borderId="30" xfId="0" applyFont="1" applyFill="1" applyBorder="1" applyAlignment="1">
      <alignment horizontal="left" vertical="center" wrapText="1"/>
    </xf>
    <xf numFmtId="0" fontId="16" fillId="6" borderId="4" xfId="0" applyFont="1" applyFill="1" applyBorder="1" applyAlignment="1">
      <alignment horizontal="left" vertical="center" wrapText="1"/>
    </xf>
    <xf numFmtId="49" fontId="17" fillId="6" borderId="4" xfId="0" applyNumberFormat="1" applyFont="1" applyFill="1" applyBorder="1" applyAlignment="1">
      <alignment horizontal="center" vertical="center"/>
    </xf>
    <xf numFmtId="0" fontId="28" fillId="6" borderId="4" xfId="0" applyFont="1" applyFill="1" applyBorder="1" applyAlignment="1">
      <alignment horizontal="center" vertical="center"/>
    </xf>
    <xf numFmtId="38" fontId="30" fillId="6" borderId="4" xfId="0" applyNumberFormat="1" applyFont="1" applyFill="1" applyBorder="1" applyAlignment="1">
      <alignment horizontal="right" vertical="center"/>
    </xf>
    <xf numFmtId="38" fontId="30" fillId="6" borderId="5" xfId="0" applyNumberFormat="1" applyFont="1" applyFill="1" applyBorder="1" applyAlignment="1">
      <alignment horizontal="right" vertical="center"/>
    </xf>
    <xf numFmtId="49" fontId="27" fillId="6" borderId="31" xfId="0" applyNumberFormat="1" applyFont="1" applyFill="1" applyBorder="1" applyAlignment="1">
      <alignment horizontal="center" vertical="center"/>
    </xf>
    <xf numFmtId="0" fontId="16" fillId="6" borderId="32" xfId="0" applyFont="1" applyFill="1" applyBorder="1" applyAlignment="1">
      <alignment horizontal="left" vertical="center" wrapText="1"/>
    </xf>
    <xf numFmtId="0" fontId="16" fillId="6" borderId="10" xfId="0" applyFont="1" applyFill="1" applyBorder="1" applyAlignment="1">
      <alignment horizontal="left" vertical="center" wrapText="1"/>
    </xf>
    <xf numFmtId="49" fontId="17" fillId="6" borderId="10" xfId="0" applyNumberFormat="1" applyFont="1" applyFill="1" applyBorder="1" applyAlignment="1">
      <alignment horizontal="center" vertical="center"/>
    </xf>
    <xf numFmtId="0" fontId="28" fillId="6" borderId="10" xfId="0" applyFont="1" applyFill="1" applyBorder="1" applyAlignment="1">
      <alignment horizontal="center" vertical="center"/>
    </xf>
    <xf numFmtId="49" fontId="27" fillId="6" borderId="9" xfId="0" applyNumberFormat="1" applyFont="1" applyFill="1" applyBorder="1" applyAlignment="1">
      <alignment horizontal="center" vertical="center"/>
    </xf>
    <xf numFmtId="38" fontId="28" fillId="6" borderId="10" xfId="0" applyNumberFormat="1" applyFont="1" applyFill="1" applyBorder="1" applyAlignment="1">
      <alignment horizontal="right" vertical="center"/>
    </xf>
    <xf numFmtId="37" fontId="27" fillId="6" borderId="11" xfId="0" applyNumberFormat="1" applyFont="1" applyFill="1" applyBorder="1" applyAlignment="1">
      <alignment horizontal="right" vertical="center" wrapText="1"/>
    </xf>
    <xf numFmtId="0" fontId="39" fillId="0" borderId="0" xfId="0" applyFont="1" applyAlignment="1">
      <alignment horizontal="center"/>
    </xf>
    <xf numFmtId="179" fontId="37" fillId="2" borderId="0" xfId="1" applyNumberFormat="1" applyFont="1" applyFill="1" applyAlignment="1">
      <alignment vertical="center" wrapText="1"/>
    </xf>
    <xf numFmtId="0" fontId="37" fillId="8" borderId="0" xfId="0" applyFont="1" applyFill="1" applyAlignment="1">
      <alignment vertical="center" wrapText="1"/>
    </xf>
    <xf numFmtId="0" fontId="5" fillId="8" borderId="0" xfId="0" applyFont="1" applyFill="1" applyAlignment="1"/>
    <xf numFmtId="0" fontId="39" fillId="8" borderId="0" xfId="0" applyFont="1" applyFill="1" applyAlignment="1">
      <alignment horizontal="center"/>
    </xf>
    <xf numFmtId="0" fontId="11" fillId="8" borderId="0" xfId="0" applyFont="1" applyFill="1" applyAlignment="1">
      <alignment vertical="center" wrapText="1"/>
    </xf>
    <xf numFmtId="179" fontId="5" fillId="0" borderId="0" xfId="0" applyNumberFormat="1" applyFont="1" applyAlignment="1"/>
    <xf numFmtId="179" fontId="38" fillId="3" borderId="0" xfId="0" applyNumberFormat="1" applyFont="1" applyFill="1" applyAlignment="1"/>
    <xf numFmtId="179" fontId="41" fillId="9" borderId="0" xfId="0" applyNumberFormat="1" applyFont="1" applyFill="1" applyAlignment="1"/>
    <xf numFmtId="179" fontId="40" fillId="7" borderId="6" xfId="0" applyNumberFormat="1" applyFont="1" applyFill="1" applyBorder="1" applyAlignment="1">
      <alignment vertical="center" wrapText="1"/>
    </xf>
    <xf numFmtId="0" fontId="5" fillId="0" borderId="6" xfId="0" applyFont="1" applyBorder="1" applyAlignment="1"/>
    <xf numFmtId="0" fontId="43" fillId="7" borderId="6" xfId="0" applyFont="1" applyFill="1" applyBorder="1" applyAlignment="1">
      <alignment horizontal="center"/>
    </xf>
    <xf numFmtId="0" fontId="47" fillId="0" borderId="37" xfId="0" applyFont="1" applyBorder="1" applyAlignment="1">
      <alignment vertical="center" wrapText="1"/>
    </xf>
    <xf numFmtId="0" fontId="45" fillId="0" borderId="37" xfId="0" applyFont="1" applyBorder="1" applyAlignment="1">
      <alignment vertical="center" wrapText="1"/>
    </xf>
    <xf numFmtId="0" fontId="46" fillId="0" borderId="38" xfId="0" applyFont="1" applyBorder="1" applyAlignment="1">
      <alignment horizontal="justify" vertical="center" wrapText="1"/>
    </xf>
    <xf numFmtId="0" fontId="47" fillId="0" borderId="37" xfId="0" applyFont="1" applyBorder="1" applyAlignment="1">
      <alignment horizontal="justify" vertical="center" wrapText="1"/>
    </xf>
    <xf numFmtId="0" fontId="46" fillId="0" borderId="36" xfId="0" applyFont="1" applyBorder="1" applyAlignment="1">
      <alignment horizontal="justify" vertical="center" wrapText="1"/>
    </xf>
    <xf numFmtId="0" fontId="49" fillId="0" borderId="35" xfId="0" applyFont="1" applyBorder="1" applyAlignment="1">
      <alignment horizontal="center" vertical="center" wrapText="1"/>
    </xf>
    <xf numFmtId="0" fontId="49" fillId="0" borderId="37" xfId="0" applyFont="1" applyBorder="1" applyAlignment="1">
      <alignment horizontal="center" vertical="center" wrapText="1"/>
    </xf>
    <xf numFmtId="0" fontId="46" fillId="0" borderId="37" xfId="0" applyFont="1" applyBorder="1" applyAlignment="1">
      <alignment horizontal="justify" vertical="center" wrapText="1"/>
    </xf>
    <xf numFmtId="0" fontId="45" fillId="0" borderId="37" xfId="0" applyFont="1" applyBorder="1" applyAlignment="1">
      <alignment horizontal="right" vertical="center" wrapText="1"/>
    </xf>
    <xf numFmtId="0" fontId="46" fillId="0" borderId="37" xfId="0" applyFont="1" applyBorder="1" applyAlignment="1">
      <alignment horizontal="right" vertical="center" wrapText="1"/>
    </xf>
    <xf numFmtId="0" fontId="48" fillId="0" borderId="37" xfId="0" applyFont="1" applyBorder="1" applyAlignment="1">
      <alignment vertical="center" wrapText="1"/>
    </xf>
    <xf numFmtId="0" fontId="48" fillId="0" borderId="37" xfId="0" applyFont="1" applyBorder="1" applyAlignment="1">
      <alignment horizontal="right" vertical="center" wrapText="1"/>
    </xf>
    <xf numFmtId="0" fontId="46" fillId="0" borderId="37" xfId="0" applyFont="1" applyBorder="1" applyAlignment="1">
      <alignment vertical="center" wrapText="1"/>
    </xf>
    <xf numFmtId="0" fontId="48" fillId="0" borderId="37" xfId="0" applyFont="1" applyBorder="1" applyAlignment="1">
      <alignment horizontal="justify" vertical="center" wrapText="1"/>
    </xf>
    <xf numFmtId="0" fontId="48" fillId="0" borderId="37" xfId="0" applyFont="1" applyBorder="1" applyAlignment="1">
      <alignment horizontal="right" vertical="center"/>
    </xf>
    <xf numFmtId="0" fontId="50" fillId="0" borderId="37" xfId="0" applyFont="1" applyBorder="1" applyAlignment="1">
      <alignment horizontal="justify" vertical="center" wrapText="1"/>
    </xf>
    <xf numFmtId="0" fontId="38" fillId="0" borderId="0" xfId="0" applyFont="1" applyAlignment="1">
      <alignment horizontal="right"/>
    </xf>
    <xf numFmtId="49" fontId="5" fillId="8" borderId="0" xfId="0" applyNumberFormat="1" applyFont="1" applyFill="1" applyAlignment="1">
      <alignment horizontal="center" vertical="center" wrapText="1"/>
    </xf>
    <xf numFmtId="49" fontId="27" fillId="10" borderId="8" xfId="0" applyNumberFormat="1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vertical="center" wrapText="1"/>
    </xf>
    <xf numFmtId="0" fontId="7" fillId="10" borderId="6" xfId="0" applyFont="1" applyFill="1" applyBorder="1" applyAlignment="1">
      <alignment horizontal="left" vertical="center" wrapText="1"/>
    </xf>
    <xf numFmtId="49" fontId="7" fillId="10" borderId="6" xfId="0" applyNumberFormat="1" applyFont="1" applyFill="1" applyBorder="1" applyAlignment="1">
      <alignment horizontal="center" vertical="center" wrapText="1"/>
    </xf>
    <xf numFmtId="177" fontId="27" fillId="10" borderId="6" xfId="0" applyNumberFormat="1" applyFont="1" applyFill="1" applyBorder="1" applyAlignment="1">
      <alignment horizontal="center" vertical="center" wrapText="1"/>
    </xf>
    <xf numFmtId="37" fontId="27" fillId="10" borderId="6" xfId="0" applyNumberFormat="1" applyFont="1" applyFill="1" applyBorder="1" applyAlignment="1">
      <alignment horizontal="right" vertical="center" wrapText="1"/>
    </xf>
    <xf numFmtId="37" fontId="27" fillId="10" borderId="7" xfId="0" applyNumberFormat="1" applyFont="1" applyFill="1" applyBorder="1" applyAlignment="1">
      <alignment horizontal="right" vertical="center" wrapText="1"/>
    </xf>
    <xf numFmtId="179" fontId="5" fillId="11" borderId="0" xfId="0" applyNumberFormat="1" applyFont="1" applyFill="1" applyAlignment="1"/>
    <xf numFmtId="0" fontId="14" fillId="8" borderId="0" xfId="0" applyFont="1" applyFill="1" applyAlignment="1"/>
    <xf numFmtId="0" fontId="34" fillId="8" borderId="0" xfId="0" applyFont="1" applyFill="1" applyAlignment="1"/>
    <xf numFmtId="0" fontId="52" fillId="0" borderId="0" xfId="0" applyFont="1" applyAlignment="1"/>
    <xf numFmtId="0" fontId="53" fillId="0" borderId="37" xfId="0" applyFont="1" applyBorder="1" applyAlignment="1">
      <alignment vertical="center" wrapText="1"/>
    </xf>
    <xf numFmtId="0" fontId="44" fillId="12" borderId="6" xfId="0" applyFont="1" applyFill="1" applyBorder="1" applyAlignment="1"/>
    <xf numFmtId="0" fontId="5" fillId="12" borderId="6" xfId="0" applyFont="1" applyFill="1" applyBorder="1" applyAlignment="1"/>
    <xf numFmtId="179" fontId="54" fillId="3" borderId="0" xfId="0" applyNumberFormat="1" applyFont="1" applyFill="1" applyAlignment="1"/>
    <xf numFmtId="0" fontId="55" fillId="8" borderId="0" xfId="0" applyFont="1" applyFill="1" applyAlignment="1"/>
    <xf numFmtId="0" fontId="37" fillId="0" borderId="0" xfId="0" applyFont="1" applyAlignment="1">
      <alignment vertical="center" wrapText="1"/>
    </xf>
    <xf numFmtId="0" fontId="36" fillId="0" borderId="0" xfId="0" applyFont="1" applyAlignment="1">
      <alignment horizontal="center" vertical="center"/>
    </xf>
    <xf numFmtId="0" fontId="56" fillId="6" borderId="4" xfId="0" applyFont="1" applyFill="1" applyBorder="1" applyAlignment="1">
      <alignment horizontal="left" vertical="center" wrapText="1"/>
    </xf>
    <xf numFmtId="0" fontId="56" fillId="6" borderId="10" xfId="0" applyFont="1" applyFill="1" applyBorder="1" applyAlignment="1">
      <alignment horizontal="left" vertical="center" wrapText="1"/>
    </xf>
    <xf numFmtId="0" fontId="57" fillId="8" borderId="0" xfId="0" applyFont="1" applyFill="1" applyAlignment="1"/>
    <xf numFmtId="178" fontId="5" fillId="5" borderId="0" xfId="0" applyNumberFormat="1" applyFont="1" applyFill="1" applyAlignment="1"/>
    <xf numFmtId="0" fontId="5" fillId="8" borderId="0" xfId="0" applyFont="1" applyFill="1" applyAlignment="1">
      <alignment horizontal="center"/>
    </xf>
    <xf numFmtId="0" fontId="48" fillId="0" borderId="45" xfId="0" applyFont="1" applyBorder="1" applyAlignment="1">
      <alignment horizontal="right" vertical="center" wrapText="1"/>
    </xf>
    <xf numFmtId="0" fontId="48" fillId="0" borderId="46" xfId="0" applyFont="1" applyBorder="1" applyAlignment="1">
      <alignment vertical="center" wrapText="1"/>
    </xf>
    <xf numFmtId="0" fontId="11" fillId="2" borderId="6" xfId="0" applyFont="1" applyFill="1" applyBorder="1" applyAlignment="1">
      <alignment vertical="center" wrapText="1"/>
    </xf>
    <xf numFmtId="0" fontId="48" fillId="0" borderId="6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/>
    <xf numFmtId="178" fontId="42" fillId="3" borderId="12" xfId="0" applyNumberFormat="1" applyFont="1" applyFill="1" applyBorder="1" applyAlignment="1">
      <alignment horizontal="right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 wrapText="1"/>
    </xf>
    <xf numFmtId="0" fontId="21" fillId="0" borderId="25" xfId="0" applyFont="1" applyBorder="1" applyAlignment="1">
      <alignment horizontal="left" vertical="center" wrapText="1"/>
    </xf>
    <xf numFmtId="0" fontId="0" fillId="0" borderId="25" xfId="0" applyBorder="1">
      <alignment vertical="center"/>
    </xf>
    <xf numFmtId="0" fontId="0" fillId="0" borderId="29" xfId="0" applyBorder="1">
      <alignment vertical="center"/>
    </xf>
    <xf numFmtId="178" fontId="27" fillId="0" borderId="0" xfId="0" applyNumberFormat="1" applyFont="1" applyAlignment="1"/>
    <xf numFmtId="0" fontId="25" fillId="0" borderId="16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0" fillId="0" borderId="0" xfId="0">
      <alignment vertical="center"/>
    </xf>
    <xf numFmtId="0" fontId="0" fillId="0" borderId="17" xfId="0" applyBorder="1">
      <alignment vertical="center"/>
    </xf>
    <xf numFmtId="0" fontId="23" fillId="0" borderId="16" xfId="0" applyFont="1" applyBorder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18" fillId="0" borderId="16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6" fillId="0" borderId="0" xfId="0" applyFont="1">
      <alignment vertical="center"/>
    </xf>
    <xf numFmtId="0" fontId="26" fillId="0" borderId="17" xfId="0" applyFont="1" applyBorder="1">
      <alignment vertical="center"/>
    </xf>
    <xf numFmtId="0" fontId="49" fillId="0" borderId="43" xfId="0" applyFont="1" applyBorder="1" applyAlignment="1">
      <alignment horizontal="center" vertical="center" wrapText="1"/>
    </xf>
    <xf numFmtId="0" fontId="49" fillId="0" borderId="44" xfId="0" applyFont="1" applyBorder="1" applyAlignment="1">
      <alignment horizontal="center" vertical="center" wrapText="1"/>
    </xf>
    <xf numFmtId="0" fontId="46" fillId="0" borderId="34" xfId="0" applyFont="1" applyBorder="1" applyAlignment="1">
      <alignment horizontal="justify" vertical="center" wrapText="1"/>
    </xf>
    <xf numFmtId="0" fontId="46" fillId="0" borderId="36" xfId="0" applyFont="1" applyBorder="1" applyAlignment="1">
      <alignment horizontal="justify" vertical="center" wrapText="1"/>
    </xf>
    <xf numFmtId="0" fontId="46" fillId="0" borderId="39" xfId="0" applyFont="1" applyBorder="1" applyAlignment="1">
      <alignment horizontal="justify" vertical="center" wrapText="1"/>
    </xf>
    <xf numFmtId="0" fontId="49" fillId="0" borderId="40" xfId="0" applyFont="1" applyBorder="1" applyAlignment="1">
      <alignment horizontal="center" vertical="center" wrapText="1"/>
    </xf>
    <xf numFmtId="0" fontId="49" fillId="0" borderId="41" xfId="0" applyFont="1" applyBorder="1" applyAlignment="1">
      <alignment horizontal="center" vertical="center" wrapText="1"/>
    </xf>
    <xf numFmtId="0" fontId="49" fillId="0" borderId="42" xfId="0" applyFont="1" applyBorder="1" applyAlignment="1">
      <alignment horizontal="center" vertical="center" wrapText="1"/>
    </xf>
    <xf numFmtId="0" fontId="49" fillId="0" borderId="37" xfId="0" applyFont="1" applyBorder="1" applyAlignment="1">
      <alignment horizontal="center" vertical="center" wrapText="1"/>
    </xf>
    <xf numFmtId="0" fontId="36" fillId="0" borderId="0" xfId="0" applyFont="1">
      <alignment vertical="center"/>
    </xf>
  </cellXfs>
  <cellStyles count="2">
    <cellStyle name="一般" xfId="0" builtinId="0"/>
    <cellStyle name="貨幣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390526</xdr:colOff>
      <xdr:row>0</xdr:row>
      <xdr:rowOff>123825</xdr:rowOff>
    </xdr:from>
    <xdr:to>
      <xdr:col>6</xdr:col>
      <xdr:colOff>849629</xdr:colOff>
      <xdr:row>5</xdr:row>
      <xdr:rowOff>170303</xdr:rowOff>
    </xdr:to>
    <xdr:pic>
      <xdr:nvPicPr>
        <xdr:cNvPr id="2" name="Picture 1" descr="elite logo">
          <a:extLst>
            <a:ext uri="{FF2B5EF4-FFF2-40B4-BE49-F238E27FC236}">
              <a16:creationId xmlns:a16="http://schemas.microsoft.com/office/drawing/2014/main" id="{6E1688CC-DE19-4639-93A3-095516578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514"/>
        <a:stretch>
          <a:fillRect/>
        </a:stretch>
      </xdr:blipFill>
      <xdr:spPr bwMode="auto">
        <a:xfrm>
          <a:off x="6467476" y="123825"/>
          <a:ext cx="2649854" cy="10466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952500</xdr:colOff>
      <xdr:row>64</xdr:row>
      <xdr:rowOff>171450</xdr:rowOff>
    </xdr:from>
    <xdr:to>
      <xdr:col>2</xdr:col>
      <xdr:colOff>2590800</xdr:colOff>
      <xdr:row>70</xdr:row>
      <xdr:rowOff>114300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44D70EC9-C0E8-4577-AD33-FA4D8E010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05200" y="15516225"/>
          <a:ext cx="1638300" cy="12382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390526</xdr:colOff>
      <xdr:row>0</xdr:row>
      <xdr:rowOff>123825</xdr:rowOff>
    </xdr:from>
    <xdr:to>
      <xdr:col>6</xdr:col>
      <xdr:colOff>849629</xdr:colOff>
      <xdr:row>5</xdr:row>
      <xdr:rowOff>170303</xdr:rowOff>
    </xdr:to>
    <xdr:pic>
      <xdr:nvPicPr>
        <xdr:cNvPr id="2" name="Picture 1" descr="elite logo">
          <a:extLst>
            <a:ext uri="{FF2B5EF4-FFF2-40B4-BE49-F238E27FC236}">
              <a16:creationId xmlns:a16="http://schemas.microsoft.com/office/drawing/2014/main" id="{34696333-2787-40AD-AAD8-8BFD5E7F1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514"/>
        <a:stretch>
          <a:fillRect/>
        </a:stretch>
      </xdr:blipFill>
      <xdr:spPr bwMode="auto">
        <a:xfrm>
          <a:off x="6205539" y="123825"/>
          <a:ext cx="2511740" cy="10466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952500</xdr:colOff>
      <xdr:row>65</xdr:row>
      <xdr:rowOff>171450</xdr:rowOff>
    </xdr:from>
    <xdr:to>
      <xdr:col>2</xdr:col>
      <xdr:colOff>2590800</xdr:colOff>
      <xdr:row>71</xdr:row>
      <xdr:rowOff>114300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89CFE2C4-A468-49E5-B406-20C5E6F92C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2338" y="22698075"/>
          <a:ext cx="1638300" cy="124301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390526</xdr:colOff>
      <xdr:row>0</xdr:row>
      <xdr:rowOff>123825</xdr:rowOff>
    </xdr:from>
    <xdr:to>
      <xdr:col>6</xdr:col>
      <xdr:colOff>849629</xdr:colOff>
      <xdr:row>5</xdr:row>
      <xdr:rowOff>170303</xdr:rowOff>
    </xdr:to>
    <xdr:pic>
      <xdr:nvPicPr>
        <xdr:cNvPr id="2" name="Picture 1" descr="elite logo">
          <a:extLst>
            <a:ext uri="{FF2B5EF4-FFF2-40B4-BE49-F238E27FC236}">
              <a16:creationId xmlns:a16="http://schemas.microsoft.com/office/drawing/2014/main" id="{3F7ACA7D-4241-4FE5-842B-18D628074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514"/>
        <a:stretch>
          <a:fillRect/>
        </a:stretch>
      </xdr:blipFill>
      <xdr:spPr bwMode="auto">
        <a:xfrm>
          <a:off x="6205539" y="123825"/>
          <a:ext cx="2511740" cy="10466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952500</xdr:colOff>
      <xdr:row>64</xdr:row>
      <xdr:rowOff>171450</xdr:rowOff>
    </xdr:from>
    <xdr:to>
      <xdr:col>2</xdr:col>
      <xdr:colOff>2590800</xdr:colOff>
      <xdr:row>70</xdr:row>
      <xdr:rowOff>114300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97FF663B-D19D-440A-B7A5-8CFDBDA42D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2338" y="22745700"/>
          <a:ext cx="1638300" cy="124301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390526</xdr:colOff>
      <xdr:row>0</xdr:row>
      <xdr:rowOff>123825</xdr:rowOff>
    </xdr:from>
    <xdr:to>
      <xdr:col>6</xdr:col>
      <xdr:colOff>849629</xdr:colOff>
      <xdr:row>5</xdr:row>
      <xdr:rowOff>170303</xdr:rowOff>
    </xdr:to>
    <xdr:pic>
      <xdr:nvPicPr>
        <xdr:cNvPr id="2" name="Picture 1" descr="elite logo">
          <a:extLst>
            <a:ext uri="{FF2B5EF4-FFF2-40B4-BE49-F238E27FC236}">
              <a16:creationId xmlns:a16="http://schemas.microsoft.com/office/drawing/2014/main" id="{00C685BC-22BB-4245-AFA6-5250A13C3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514"/>
        <a:stretch>
          <a:fillRect/>
        </a:stretch>
      </xdr:blipFill>
      <xdr:spPr bwMode="auto">
        <a:xfrm>
          <a:off x="6591301" y="123825"/>
          <a:ext cx="2649853" cy="10466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952500</xdr:colOff>
      <xdr:row>65</xdr:row>
      <xdr:rowOff>171450</xdr:rowOff>
    </xdr:from>
    <xdr:to>
      <xdr:col>2</xdr:col>
      <xdr:colOff>2590800</xdr:colOff>
      <xdr:row>71</xdr:row>
      <xdr:rowOff>114300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755B5079-F497-4303-8973-BEFC6430A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9025" y="21678900"/>
          <a:ext cx="1638300" cy="1238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618C5-5427-497C-9652-1EEC15A25666}">
  <sheetPr>
    <tabColor rgb="FFFF0000"/>
  </sheetPr>
  <dimension ref="A7:AC71"/>
  <sheetViews>
    <sheetView topLeftCell="A49" zoomScale="86" zoomScaleNormal="86" workbookViewId="0">
      <selection activeCell="G47" sqref="G47"/>
    </sheetView>
  </sheetViews>
  <sheetFormatPr baseColWidth="10" defaultColWidth="9" defaultRowHeight="16"/>
  <cols>
    <col min="1" max="1" width="10.83203125" style="1" customWidth="1"/>
    <col min="2" max="2" width="24.1640625" style="1" customWidth="1"/>
    <col min="3" max="3" width="46.1640625" style="1" customWidth="1"/>
    <col min="4" max="4" width="9.83203125" style="1" customWidth="1"/>
    <col min="5" max="5" width="9.33203125" style="4" customWidth="1"/>
    <col min="6" max="6" width="9.5" style="1" customWidth="1"/>
    <col min="7" max="7" width="12" style="1" customWidth="1"/>
    <col min="8" max="8" width="13.33203125" style="1" customWidth="1"/>
    <col min="9" max="9" width="15.6640625" style="1" bestFit="1" customWidth="1"/>
    <col min="10" max="10" width="19.33203125" style="1" customWidth="1"/>
    <col min="11" max="13" width="9.6640625" style="132" customWidth="1"/>
    <col min="14" max="14" width="33" style="99" bestFit="1" customWidth="1"/>
    <col min="15" max="16384" width="9" style="1"/>
  </cols>
  <sheetData>
    <row r="7" spans="1:29" ht="26">
      <c r="A7" s="186" t="s">
        <v>0</v>
      </c>
      <c r="B7" s="186"/>
      <c r="C7" s="186"/>
      <c r="D7" s="186"/>
      <c r="E7" s="187"/>
      <c r="F7" s="187"/>
      <c r="G7" s="187"/>
    </row>
    <row r="9" spans="1:29" ht="27" thickBot="1">
      <c r="A9" s="188" t="s">
        <v>1</v>
      </c>
      <c r="B9" s="189"/>
      <c r="C9" s="189"/>
      <c r="D9" s="189"/>
      <c r="E9" s="189"/>
      <c r="F9" s="190"/>
      <c r="G9" s="190"/>
    </row>
    <row r="10" spans="1:29" ht="17" thickTop="1">
      <c r="A10" s="2"/>
      <c r="E10" s="3"/>
      <c r="F10" s="2"/>
      <c r="G10" s="2"/>
    </row>
    <row r="11" spans="1:29" ht="21">
      <c r="A11" s="19" t="s">
        <v>101</v>
      </c>
      <c r="E11" s="24"/>
      <c r="F11" s="23" t="str">
        <f ca="1">"日期 : " &amp; TEXT(TODAY(), "yyyy年mm月dd日")</f>
        <v>日期 : 2025年12月18日</v>
      </c>
    </row>
    <row r="12" spans="1:29" ht="17" thickBot="1"/>
    <row r="13" spans="1:29" ht="21" customHeight="1" thickTop="1" thickBot="1">
      <c r="A13" s="15" t="s">
        <v>2</v>
      </c>
      <c r="B13" s="16" t="s">
        <v>3</v>
      </c>
      <c r="C13" s="16" t="s">
        <v>4</v>
      </c>
      <c r="D13" s="16" t="s">
        <v>5</v>
      </c>
      <c r="E13" s="16" t="s">
        <v>6</v>
      </c>
      <c r="F13" s="17" t="s">
        <v>7</v>
      </c>
      <c r="G13" s="18" t="s">
        <v>8</v>
      </c>
      <c r="N13" s="100" t="s">
        <v>156</v>
      </c>
    </row>
    <row r="14" spans="1:29" ht="21" customHeight="1" thickTop="1" thickBot="1">
      <c r="A14" s="195" t="s">
        <v>65</v>
      </c>
      <c r="B14" s="196"/>
      <c r="C14" s="197"/>
      <c r="D14" s="197"/>
      <c r="E14" s="197"/>
      <c r="F14" s="197"/>
      <c r="G14" s="198"/>
      <c r="H14" s="106" t="s">
        <v>160</v>
      </c>
      <c r="I14" s="129" t="s">
        <v>189</v>
      </c>
      <c r="J14" s="140" t="s">
        <v>162</v>
      </c>
      <c r="K14" s="133" t="s">
        <v>182</v>
      </c>
      <c r="L14" s="133"/>
      <c r="M14" s="133"/>
      <c r="N14" s="101"/>
    </row>
    <row r="15" spans="1:29" s="5" customFormat="1" ht="25" customHeight="1" thickTop="1">
      <c r="A15" s="26" t="s">
        <v>66</v>
      </c>
      <c r="B15" s="27" t="s">
        <v>15</v>
      </c>
      <c r="C15" s="28" t="s">
        <v>16</v>
      </c>
      <c r="D15" s="43" t="s">
        <v>17</v>
      </c>
      <c r="E15" s="56">
        <v>2400</v>
      </c>
      <c r="F15" s="57">
        <v>18</v>
      </c>
      <c r="G15" s="60">
        <f t="shared" ref="G15:G30" si="0">SUM(E15*F15)</f>
        <v>43200</v>
      </c>
      <c r="H15" s="1"/>
      <c r="I15" s="130">
        <f>G15/20</f>
        <v>2160</v>
      </c>
      <c r="J15" s="138">
        <f>G15/20*6</f>
        <v>12960</v>
      </c>
      <c r="K15" s="158" t="s">
        <v>181</v>
      </c>
      <c r="L15" s="134"/>
      <c r="M15" s="134"/>
      <c r="N15" s="10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s="5" customFormat="1" ht="25" customHeight="1">
      <c r="A16" s="25" t="s">
        <v>67</v>
      </c>
      <c r="B16" s="21" t="s">
        <v>18</v>
      </c>
      <c r="C16" s="20" t="s">
        <v>19</v>
      </c>
      <c r="D16" s="45" t="s">
        <v>20</v>
      </c>
      <c r="E16" s="64">
        <v>13</v>
      </c>
      <c r="F16" s="69">
        <v>950</v>
      </c>
      <c r="G16" s="70">
        <f t="shared" si="0"/>
        <v>12350</v>
      </c>
      <c r="H16" s="1"/>
      <c r="I16" s="130">
        <f t="shared" ref="I16:I17" si="1">G16/20</f>
        <v>617.5</v>
      </c>
      <c r="J16" s="138">
        <f t="shared" ref="J16:J18" si="2">G16/20*6</f>
        <v>3705</v>
      </c>
      <c r="K16" s="158" t="s">
        <v>181</v>
      </c>
      <c r="L16" s="134"/>
      <c r="M16" s="134"/>
      <c r="N16" s="10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s="5" customFormat="1" ht="25" customHeight="1">
      <c r="A17" s="25" t="s">
        <v>68</v>
      </c>
      <c r="B17" s="21" t="s">
        <v>157</v>
      </c>
      <c r="C17" s="20" t="s">
        <v>21</v>
      </c>
      <c r="D17" s="45" t="s">
        <v>22</v>
      </c>
      <c r="E17" s="64">
        <v>1</v>
      </c>
      <c r="F17" s="69">
        <v>3600</v>
      </c>
      <c r="G17" s="70">
        <f t="shared" si="0"/>
        <v>3600</v>
      </c>
      <c r="H17" s="1"/>
      <c r="I17" s="130">
        <f t="shared" si="1"/>
        <v>180</v>
      </c>
      <c r="J17" s="138">
        <f t="shared" si="2"/>
        <v>1080</v>
      </c>
      <c r="K17" s="158" t="s">
        <v>181</v>
      </c>
      <c r="L17" s="134"/>
      <c r="M17" s="134"/>
      <c r="N17" s="10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s="5" customFormat="1" ht="25" customHeight="1">
      <c r="A18" s="71" t="s">
        <v>69</v>
      </c>
      <c r="B18" s="72" t="s">
        <v>23</v>
      </c>
      <c r="C18" s="73" t="s">
        <v>24</v>
      </c>
      <c r="D18" s="74" t="s">
        <v>20</v>
      </c>
      <c r="E18" s="105">
        <v>6</v>
      </c>
      <c r="F18" s="76">
        <v>2300</v>
      </c>
      <c r="G18" s="78">
        <f t="shared" si="0"/>
        <v>13800</v>
      </c>
      <c r="H18" s="107" t="s">
        <v>161</v>
      </c>
      <c r="I18" s="130">
        <f>G18/20</f>
        <v>690</v>
      </c>
      <c r="J18" s="138">
        <f t="shared" si="2"/>
        <v>4140</v>
      </c>
      <c r="K18" s="158" t="s">
        <v>181</v>
      </c>
      <c r="L18" s="134"/>
      <c r="M18" s="134"/>
      <c r="N18" s="102" t="s">
        <v>146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s="5" customFormat="1" ht="25" customHeight="1">
      <c r="A19" s="25" t="s">
        <v>70</v>
      </c>
      <c r="B19" s="21" t="s">
        <v>25</v>
      </c>
      <c r="C19" s="20" t="s">
        <v>26</v>
      </c>
      <c r="D19" s="45" t="s">
        <v>22</v>
      </c>
      <c r="E19" s="64">
        <v>1</v>
      </c>
      <c r="F19" s="69">
        <v>7800</v>
      </c>
      <c r="G19" s="70">
        <f t="shared" si="0"/>
        <v>7800</v>
      </c>
      <c r="H19" s="1"/>
      <c r="I19" s="1"/>
      <c r="J19" s="139">
        <v>7800</v>
      </c>
      <c r="K19" s="132"/>
      <c r="L19" s="132"/>
      <c r="M19" s="132"/>
      <c r="N19" s="10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s="5" customFormat="1" ht="25" customHeight="1">
      <c r="A20" s="25" t="s">
        <v>71</v>
      </c>
      <c r="B20" s="21" t="s">
        <v>27</v>
      </c>
      <c r="C20" s="20" t="s">
        <v>28</v>
      </c>
      <c r="D20" s="45" t="s">
        <v>20</v>
      </c>
      <c r="E20" s="64">
        <v>36</v>
      </c>
      <c r="F20" s="69">
        <v>1900</v>
      </c>
      <c r="G20" s="70">
        <f t="shared" si="0"/>
        <v>68400</v>
      </c>
      <c r="H20" s="1"/>
      <c r="I20" s="1"/>
      <c r="J20" s="139">
        <v>68400</v>
      </c>
      <c r="K20" s="132"/>
      <c r="L20" s="132"/>
      <c r="M20" s="132"/>
      <c r="N20" s="10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s="5" customFormat="1" ht="25" customHeight="1">
      <c r="A21" s="25" t="s">
        <v>72</v>
      </c>
      <c r="B21" s="21" t="s">
        <v>29</v>
      </c>
      <c r="C21" s="20" t="s">
        <v>30</v>
      </c>
      <c r="D21" s="45" t="s">
        <v>22</v>
      </c>
      <c r="E21" s="64">
        <v>4</v>
      </c>
      <c r="F21" s="69">
        <v>5800</v>
      </c>
      <c r="G21" s="70">
        <f t="shared" si="0"/>
        <v>23200</v>
      </c>
      <c r="H21" s="1"/>
      <c r="I21" s="1"/>
      <c r="J21" s="139">
        <v>23200</v>
      </c>
      <c r="K21" s="132"/>
      <c r="L21" s="132"/>
      <c r="M21" s="132"/>
      <c r="N21" s="10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s="5" customFormat="1" ht="25" customHeight="1">
      <c r="A22" s="25" t="s">
        <v>73</v>
      </c>
      <c r="B22" s="21" t="s">
        <v>31</v>
      </c>
      <c r="C22" s="20" t="s">
        <v>32</v>
      </c>
      <c r="D22" s="45" t="s">
        <v>22</v>
      </c>
      <c r="E22" s="64">
        <v>1</v>
      </c>
      <c r="F22" s="69">
        <v>30000</v>
      </c>
      <c r="G22" s="70">
        <f t="shared" si="0"/>
        <v>30000</v>
      </c>
      <c r="H22" s="107" t="s">
        <v>158</v>
      </c>
      <c r="I22" s="131"/>
      <c r="J22" s="139">
        <v>30000</v>
      </c>
      <c r="K22" s="132"/>
      <c r="L22" s="132"/>
      <c r="M22" s="132"/>
      <c r="N22" s="10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s="5" customFormat="1" ht="25" customHeight="1">
      <c r="A23" s="25" t="s">
        <v>74</v>
      </c>
      <c r="B23" s="21" t="s">
        <v>33</v>
      </c>
      <c r="C23" s="20" t="s">
        <v>34</v>
      </c>
      <c r="D23" s="45" t="s">
        <v>17</v>
      </c>
      <c r="E23" s="64">
        <v>400</v>
      </c>
      <c r="F23" s="69">
        <v>150</v>
      </c>
      <c r="G23" s="70">
        <f t="shared" si="0"/>
        <v>60000</v>
      </c>
      <c r="H23" s="1"/>
      <c r="I23" s="1"/>
      <c r="J23" s="139">
        <v>60000</v>
      </c>
      <c r="K23" s="132"/>
      <c r="L23" s="132"/>
      <c r="M23" s="132"/>
      <c r="N23" s="10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s="5" customFormat="1" ht="25" customHeight="1">
      <c r="A24" s="25" t="s">
        <v>75</v>
      </c>
      <c r="B24" s="21" t="s">
        <v>35</v>
      </c>
      <c r="C24" s="20" t="s">
        <v>36</v>
      </c>
      <c r="D24" s="45" t="s">
        <v>17</v>
      </c>
      <c r="E24" s="64">
        <v>390</v>
      </c>
      <c r="F24" s="69">
        <v>150</v>
      </c>
      <c r="G24" s="70">
        <f t="shared" si="0"/>
        <v>58500</v>
      </c>
      <c r="H24" s="1"/>
      <c r="I24" s="1"/>
      <c r="J24" s="139">
        <v>58500</v>
      </c>
      <c r="K24" s="132"/>
      <c r="L24" s="132"/>
      <c r="M24" s="132"/>
      <c r="N24" s="10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s="5" customFormat="1" ht="25" customHeight="1">
      <c r="A25" s="71" t="s">
        <v>76</v>
      </c>
      <c r="B25" s="72" t="s">
        <v>37</v>
      </c>
      <c r="C25" s="73" t="s">
        <v>38</v>
      </c>
      <c r="D25" s="74" t="s">
        <v>22</v>
      </c>
      <c r="E25" s="77">
        <v>27</v>
      </c>
      <c r="F25" s="76">
        <v>1450</v>
      </c>
      <c r="G25" s="78">
        <f t="shared" si="0"/>
        <v>39150</v>
      </c>
      <c r="H25" s="1"/>
      <c r="I25" s="1"/>
      <c r="J25" s="139">
        <v>39150</v>
      </c>
      <c r="K25" s="132"/>
      <c r="L25" s="132"/>
      <c r="M25" s="132"/>
      <c r="N25" s="102" t="s">
        <v>147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s="5" customFormat="1" ht="25" customHeight="1">
      <c r="A26" s="25" t="s">
        <v>77</v>
      </c>
      <c r="B26" s="21" t="s">
        <v>39</v>
      </c>
      <c r="C26" s="20" t="s">
        <v>40</v>
      </c>
      <c r="D26" s="45" t="s">
        <v>22</v>
      </c>
      <c r="E26" s="64">
        <v>14</v>
      </c>
      <c r="F26" s="69">
        <v>750</v>
      </c>
      <c r="G26" s="70">
        <f t="shared" si="0"/>
        <v>10500</v>
      </c>
      <c r="H26" s="1"/>
      <c r="I26" s="130">
        <f>G26/20</f>
        <v>525</v>
      </c>
      <c r="J26" s="138">
        <f t="shared" ref="J26" si="3">G26/20*6</f>
        <v>3150</v>
      </c>
      <c r="K26" s="158" t="s">
        <v>181</v>
      </c>
      <c r="L26" s="132"/>
      <c r="M26" s="132"/>
      <c r="N26" s="10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s="5" customFormat="1" ht="25" customHeight="1">
      <c r="A27" s="25" t="s">
        <v>78</v>
      </c>
      <c r="B27" s="21" t="s">
        <v>41</v>
      </c>
      <c r="C27" s="20" t="s">
        <v>107</v>
      </c>
      <c r="D27" s="45" t="s">
        <v>22</v>
      </c>
      <c r="E27" s="64">
        <v>1</v>
      </c>
      <c r="F27" s="69">
        <v>680</v>
      </c>
      <c r="G27" s="70">
        <f t="shared" si="0"/>
        <v>680</v>
      </c>
      <c r="H27" s="1"/>
      <c r="I27" s="1"/>
      <c r="J27" s="139">
        <v>680</v>
      </c>
      <c r="K27" s="132"/>
      <c r="L27" s="132"/>
      <c r="M27" s="132"/>
      <c r="N27" s="10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s="5" customFormat="1" ht="25" customHeight="1">
      <c r="A28" s="25" t="s">
        <v>79</v>
      </c>
      <c r="B28" s="21" t="s">
        <v>42</v>
      </c>
      <c r="C28" s="20" t="s">
        <v>43</v>
      </c>
      <c r="D28" s="45" t="s">
        <v>22</v>
      </c>
      <c r="E28" s="64">
        <v>8</v>
      </c>
      <c r="F28" s="69">
        <v>950</v>
      </c>
      <c r="G28" s="70">
        <f t="shared" si="0"/>
        <v>7600</v>
      </c>
      <c r="H28" s="1"/>
      <c r="I28" s="130">
        <f t="shared" ref="I28:I29" si="4">G28/20</f>
        <v>380</v>
      </c>
      <c r="J28" s="138">
        <f t="shared" ref="J28:J29" si="5">G28/20*6</f>
        <v>2280</v>
      </c>
      <c r="K28" s="158" t="s">
        <v>181</v>
      </c>
      <c r="L28" s="132"/>
      <c r="M28" s="132"/>
      <c r="N28" s="10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s="5" customFormat="1" ht="25" customHeight="1">
      <c r="A29" s="40" t="s">
        <v>80</v>
      </c>
      <c r="B29" s="20" t="s">
        <v>44</v>
      </c>
      <c r="C29" s="20" t="s">
        <v>45</v>
      </c>
      <c r="D29" s="45" t="s">
        <v>22</v>
      </c>
      <c r="E29" s="64">
        <v>30</v>
      </c>
      <c r="F29" s="69">
        <v>90</v>
      </c>
      <c r="G29" s="70">
        <f t="shared" si="0"/>
        <v>2700</v>
      </c>
      <c r="H29" s="1"/>
      <c r="I29" s="130">
        <f t="shared" si="4"/>
        <v>135</v>
      </c>
      <c r="J29" s="138">
        <f t="shared" si="5"/>
        <v>810</v>
      </c>
      <c r="K29" s="158" t="s">
        <v>181</v>
      </c>
      <c r="L29" s="132"/>
      <c r="M29" s="132"/>
      <c r="N29" s="10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s="5" customFormat="1" ht="25" customHeight="1" thickBot="1">
      <c r="A30" s="108" t="s">
        <v>138</v>
      </c>
      <c r="B30" s="109" t="s">
        <v>139</v>
      </c>
      <c r="C30" s="109" t="s">
        <v>140</v>
      </c>
      <c r="D30" s="110" t="s">
        <v>22</v>
      </c>
      <c r="E30" s="111">
        <v>1</v>
      </c>
      <c r="F30" s="112">
        <v>7000</v>
      </c>
      <c r="G30" s="113">
        <f t="shared" si="0"/>
        <v>7000</v>
      </c>
      <c r="H30" s="1"/>
      <c r="I30" s="1"/>
      <c r="J30" s="139"/>
      <c r="K30" s="132"/>
      <c r="L30" s="132"/>
      <c r="M30" s="132"/>
      <c r="N30" s="100" t="s">
        <v>155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s="5" customFormat="1" ht="23" thickTop="1" thickBot="1">
      <c r="A31" s="206" t="s">
        <v>81</v>
      </c>
      <c r="B31" s="201"/>
      <c r="C31" s="202"/>
      <c r="D31" s="202"/>
      <c r="E31" s="202"/>
      <c r="F31" s="202"/>
      <c r="G31" s="203"/>
      <c r="H31" s="1"/>
      <c r="I31" s="1"/>
      <c r="J31" s="139"/>
      <c r="K31" s="132"/>
      <c r="L31" s="132"/>
      <c r="M31" s="132"/>
      <c r="N31" s="10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s="5" customFormat="1" ht="25" customHeight="1" thickTop="1">
      <c r="A32" s="79" t="s">
        <v>82</v>
      </c>
      <c r="B32" s="80" t="s">
        <v>46</v>
      </c>
      <c r="C32" s="81" t="s">
        <v>47</v>
      </c>
      <c r="D32" s="82" t="s">
        <v>22</v>
      </c>
      <c r="E32" s="84">
        <v>1</v>
      </c>
      <c r="F32" s="83">
        <v>3600</v>
      </c>
      <c r="G32" s="85">
        <f t="shared" ref="G32:G35" si="6">SUM(E32*F32)</f>
        <v>3600</v>
      </c>
      <c r="H32" s="1"/>
      <c r="I32" s="1"/>
      <c r="J32" s="139">
        <v>3600</v>
      </c>
      <c r="K32" s="132"/>
      <c r="L32" s="132"/>
      <c r="M32" s="132"/>
      <c r="N32" s="100" t="s">
        <v>148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s="5" customFormat="1" ht="34.5" customHeight="1">
      <c r="A33" s="86" t="s">
        <v>83</v>
      </c>
      <c r="B33" s="87" t="s">
        <v>136</v>
      </c>
      <c r="C33" s="88" t="s">
        <v>137</v>
      </c>
      <c r="D33" s="89" t="s">
        <v>22</v>
      </c>
      <c r="E33" s="77">
        <v>6.5</v>
      </c>
      <c r="F33" s="90">
        <v>2800</v>
      </c>
      <c r="G33" s="78">
        <f t="shared" si="6"/>
        <v>18200</v>
      </c>
      <c r="H33" s="1"/>
      <c r="I33" s="1"/>
      <c r="J33" s="139">
        <v>18200</v>
      </c>
      <c r="K33" s="132"/>
      <c r="L33" s="132"/>
      <c r="M33" s="132"/>
      <c r="N33" s="102" t="s">
        <v>149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s="5" customFormat="1" ht="25" customHeight="1">
      <c r="A34" s="91" t="s">
        <v>133</v>
      </c>
      <c r="B34" s="72" t="s">
        <v>48</v>
      </c>
      <c r="C34" s="73" t="s">
        <v>150</v>
      </c>
      <c r="D34" s="74" t="s">
        <v>22</v>
      </c>
      <c r="E34" s="75">
        <v>1</v>
      </c>
      <c r="F34" s="90">
        <v>10900</v>
      </c>
      <c r="G34" s="78">
        <f t="shared" si="6"/>
        <v>10900</v>
      </c>
      <c r="H34" s="1"/>
      <c r="I34" s="1"/>
      <c r="J34" s="139">
        <v>10900</v>
      </c>
      <c r="K34" s="132"/>
      <c r="L34" s="132"/>
      <c r="M34" s="132"/>
      <c r="N34" s="100" t="s">
        <v>151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s="5" customFormat="1" ht="25" customHeight="1">
      <c r="A35" s="48" t="s">
        <v>134</v>
      </c>
      <c r="B35" s="21" t="s">
        <v>49</v>
      </c>
      <c r="C35" s="20" t="s">
        <v>50</v>
      </c>
      <c r="D35" s="45" t="s">
        <v>17</v>
      </c>
      <c r="E35" s="64">
        <v>180</v>
      </c>
      <c r="F35" s="69">
        <v>150</v>
      </c>
      <c r="G35" s="70">
        <f t="shared" si="6"/>
        <v>27000</v>
      </c>
      <c r="H35" s="1"/>
      <c r="I35" s="1"/>
      <c r="J35" s="139">
        <v>27000</v>
      </c>
      <c r="K35" s="132"/>
      <c r="L35" s="132"/>
      <c r="M35" s="132"/>
      <c r="N35" s="10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s="5" customFormat="1" ht="25" customHeight="1" thickBot="1">
      <c r="A36" s="49" t="s">
        <v>135</v>
      </c>
      <c r="B36" s="30" t="s">
        <v>51</v>
      </c>
      <c r="C36" s="31" t="s">
        <v>52</v>
      </c>
      <c r="D36" s="44" t="s">
        <v>22</v>
      </c>
      <c r="E36" s="58">
        <v>2</v>
      </c>
      <c r="F36" s="59">
        <v>850</v>
      </c>
      <c r="G36" s="61">
        <f>SUM(E36*F36)</f>
        <v>1700</v>
      </c>
      <c r="H36" s="1"/>
      <c r="I36" s="1"/>
      <c r="J36" s="139">
        <v>1700</v>
      </c>
      <c r="K36" s="132"/>
      <c r="L36" s="132"/>
      <c r="M36" s="132"/>
      <c r="N36" s="10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s="5" customFormat="1" ht="25" customHeight="1" thickTop="1" thickBot="1">
      <c r="A37" s="206" t="s">
        <v>92</v>
      </c>
      <c r="B37" s="201"/>
      <c r="C37" s="33"/>
      <c r="D37" s="34"/>
      <c r="E37" s="35"/>
      <c r="F37" s="36"/>
      <c r="G37" s="37"/>
      <c r="H37" s="1"/>
      <c r="I37" s="1"/>
      <c r="J37" s="139"/>
      <c r="K37" s="132"/>
      <c r="L37" s="132"/>
      <c r="M37" s="132"/>
      <c r="N37" s="10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s="5" customFormat="1" ht="25" customHeight="1" thickTop="1">
      <c r="A38" s="26" t="s">
        <v>84</v>
      </c>
      <c r="B38" s="32" t="s">
        <v>53</v>
      </c>
      <c r="C38" s="28" t="s">
        <v>54</v>
      </c>
      <c r="D38" s="43" t="s">
        <v>22</v>
      </c>
      <c r="E38" s="56">
        <v>1</v>
      </c>
      <c r="F38" s="62">
        <v>1300</v>
      </c>
      <c r="G38" s="63">
        <f t="shared" ref="G38:G44" si="7">SUM(E38*F38)</f>
        <v>1300</v>
      </c>
      <c r="H38" s="1"/>
      <c r="I38" s="1"/>
      <c r="J38" s="139">
        <v>1300</v>
      </c>
      <c r="K38" s="132"/>
      <c r="L38" s="132"/>
      <c r="M38" s="132"/>
      <c r="N38" s="10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s="5" customFormat="1" ht="25" customHeight="1">
      <c r="A39" s="25" t="s">
        <v>85</v>
      </c>
      <c r="B39" s="21" t="s">
        <v>55</v>
      </c>
      <c r="C39" s="20" t="s">
        <v>56</v>
      </c>
      <c r="D39" s="45" t="s">
        <v>22</v>
      </c>
      <c r="E39" s="64">
        <v>1</v>
      </c>
      <c r="F39" s="65">
        <v>4800</v>
      </c>
      <c r="G39" s="66">
        <f t="shared" si="7"/>
        <v>4800</v>
      </c>
      <c r="H39" s="1"/>
      <c r="I39" s="1"/>
      <c r="J39" s="139">
        <v>4800</v>
      </c>
      <c r="K39" s="132"/>
      <c r="L39" s="132"/>
      <c r="M39" s="132"/>
      <c r="N39" s="10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s="5" customFormat="1" ht="25" customHeight="1">
      <c r="A40" s="25" t="s">
        <v>94</v>
      </c>
      <c r="B40" s="21" t="s">
        <v>57</v>
      </c>
      <c r="C40" s="20" t="s">
        <v>58</v>
      </c>
      <c r="D40" s="45" t="s">
        <v>22</v>
      </c>
      <c r="E40" s="64">
        <v>3</v>
      </c>
      <c r="F40" s="65">
        <v>1900</v>
      </c>
      <c r="G40" s="66">
        <f t="shared" si="7"/>
        <v>5700</v>
      </c>
      <c r="H40" s="1"/>
      <c r="I40" s="1"/>
      <c r="J40" s="139">
        <v>5700</v>
      </c>
      <c r="K40" s="132"/>
      <c r="L40" s="132"/>
      <c r="M40" s="132"/>
      <c r="N40" s="10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s="5" customFormat="1" ht="25" customHeight="1">
      <c r="A41" s="25" t="s">
        <v>95</v>
      </c>
      <c r="B41" s="21" t="s">
        <v>48</v>
      </c>
      <c r="C41" s="20" t="s">
        <v>59</v>
      </c>
      <c r="D41" s="45" t="s">
        <v>22</v>
      </c>
      <c r="E41" s="64">
        <v>1</v>
      </c>
      <c r="F41" s="65">
        <v>9540</v>
      </c>
      <c r="G41" s="66">
        <f t="shared" si="7"/>
        <v>9540</v>
      </c>
      <c r="H41" s="1"/>
      <c r="I41" s="1"/>
      <c r="J41" s="139">
        <v>9540</v>
      </c>
      <c r="K41" s="132"/>
      <c r="L41" s="132"/>
      <c r="M41" s="132"/>
      <c r="N41" s="10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25" customHeight="1">
      <c r="A42" s="25" t="s">
        <v>96</v>
      </c>
      <c r="B42" s="21" t="s">
        <v>49</v>
      </c>
      <c r="C42" s="20" t="s">
        <v>60</v>
      </c>
      <c r="D42" s="45" t="s">
        <v>17</v>
      </c>
      <c r="E42" s="64">
        <v>278</v>
      </c>
      <c r="F42" s="65">
        <v>150</v>
      </c>
      <c r="G42" s="66">
        <f t="shared" si="7"/>
        <v>41700</v>
      </c>
      <c r="J42" s="139">
        <v>41700</v>
      </c>
      <c r="N42" s="101"/>
    </row>
    <row r="43" spans="1:29" ht="94.5" customHeight="1">
      <c r="A43" s="25" t="s">
        <v>97</v>
      </c>
      <c r="B43" s="20" t="s">
        <v>121</v>
      </c>
      <c r="C43" s="20" t="s">
        <v>122</v>
      </c>
      <c r="D43" s="45" t="s">
        <v>22</v>
      </c>
      <c r="E43" s="64">
        <v>1</v>
      </c>
      <c r="F43" s="65">
        <v>17500</v>
      </c>
      <c r="G43" s="66">
        <f t="shared" si="7"/>
        <v>17500</v>
      </c>
      <c r="J43" s="139">
        <v>17500</v>
      </c>
      <c r="N43" s="101"/>
    </row>
    <row r="44" spans="1:29" ht="25" customHeight="1" thickBot="1">
      <c r="A44" s="29" t="s">
        <v>98</v>
      </c>
      <c r="B44" s="46" t="s">
        <v>61</v>
      </c>
      <c r="C44" s="31" t="s">
        <v>62</v>
      </c>
      <c r="D44" s="44" t="s">
        <v>22</v>
      </c>
      <c r="E44" s="58">
        <v>22</v>
      </c>
      <c r="F44" s="67">
        <v>260</v>
      </c>
      <c r="G44" s="68">
        <f t="shared" si="7"/>
        <v>5720</v>
      </c>
      <c r="J44" s="139">
        <v>5720</v>
      </c>
      <c r="N44" s="101"/>
    </row>
    <row r="45" spans="1:29" ht="25" customHeight="1" thickTop="1" thickBot="1">
      <c r="A45" s="200" t="s">
        <v>93</v>
      </c>
      <c r="B45" s="201"/>
      <c r="C45" s="202"/>
      <c r="D45" s="202"/>
      <c r="E45" s="202"/>
      <c r="F45" s="202"/>
      <c r="G45" s="203"/>
      <c r="J45" s="139"/>
      <c r="N45" s="101"/>
    </row>
    <row r="46" spans="1:29" ht="65" customHeight="1" thickTop="1">
      <c r="A46" s="114" t="s">
        <v>86</v>
      </c>
      <c r="B46" s="115" t="s">
        <v>63</v>
      </c>
      <c r="C46" s="116" t="s">
        <v>108</v>
      </c>
      <c r="D46" s="117" t="s">
        <v>22</v>
      </c>
      <c r="E46" s="118">
        <v>6</v>
      </c>
      <c r="F46" s="119">
        <v>19500</v>
      </c>
      <c r="G46" s="120">
        <f t="shared" ref="G46:G47" si="8">SUM(E46*F46)</f>
        <v>117000</v>
      </c>
      <c r="I46" s="1">
        <v>117000</v>
      </c>
      <c r="J46" s="171"/>
      <c r="N46" s="103" t="s">
        <v>152</v>
      </c>
    </row>
    <row r="47" spans="1:29" ht="73.5" customHeight="1" thickBot="1">
      <c r="A47" s="121" t="s">
        <v>87</v>
      </c>
      <c r="B47" s="122" t="s">
        <v>64</v>
      </c>
      <c r="C47" s="123" t="s">
        <v>130</v>
      </c>
      <c r="D47" s="124" t="s">
        <v>22</v>
      </c>
      <c r="E47" s="125">
        <v>4</v>
      </c>
      <c r="F47" s="112">
        <v>37000</v>
      </c>
      <c r="G47" s="113">
        <f t="shared" si="8"/>
        <v>148000</v>
      </c>
      <c r="I47" s="1">
        <v>148000</v>
      </c>
      <c r="J47" s="171"/>
      <c r="N47" s="103" t="s">
        <v>153</v>
      </c>
    </row>
    <row r="48" spans="1:29" ht="25" customHeight="1" thickTop="1" thickBot="1">
      <c r="A48" s="207" t="s">
        <v>118</v>
      </c>
      <c r="B48" s="208"/>
      <c r="C48" s="209"/>
      <c r="D48" s="209"/>
      <c r="E48" s="209"/>
      <c r="F48" s="209"/>
      <c r="G48" s="210"/>
      <c r="J48" s="139"/>
      <c r="N48" s="101"/>
    </row>
    <row r="49" spans="1:14" ht="36.75" customHeight="1" thickTop="1">
      <c r="A49" s="26" t="s">
        <v>99</v>
      </c>
      <c r="B49" s="28" t="s">
        <v>131</v>
      </c>
      <c r="C49" s="28" t="s">
        <v>132</v>
      </c>
      <c r="D49" s="43" t="s">
        <v>22</v>
      </c>
      <c r="E49" s="56">
        <v>1</v>
      </c>
      <c r="F49" s="57">
        <v>12000</v>
      </c>
      <c r="G49" s="52">
        <f>E49*F49</f>
        <v>12000</v>
      </c>
      <c r="J49" s="139">
        <v>12000</v>
      </c>
      <c r="N49" s="101"/>
    </row>
    <row r="50" spans="1:14" ht="104.25" customHeight="1" thickBot="1">
      <c r="A50" s="126" t="s">
        <v>100</v>
      </c>
      <c r="B50" s="123" t="s">
        <v>119</v>
      </c>
      <c r="C50" s="123" t="s">
        <v>120</v>
      </c>
      <c r="D50" s="124" t="s">
        <v>14</v>
      </c>
      <c r="E50" s="125">
        <v>4</v>
      </c>
      <c r="F50" s="127">
        <v>12500</v>
      </c>
      <c r="G50" s="128">
        <f>E50*F50</f>
        <v>50000</v>
      </c>
      <c r="I50" s="1">
        <v>50000</v>
      </c>
      <c r="J50" s="172"/>
      <c r="K50" s="132" t="s">
        <v>183</v>
      </c>
      <c r="N50" s="101"/>
    </row>
    <row r="51" spans="1:14" ht="25" thickTop="1" thickBot="1">
      <c r="A51" s="204" t="s">
        <v>102</v>
      </c>
      <c r="B51" s="205"/>
      <c r="C51" s="202"/>
      <c r="D51" s="202"/>
      <c r="E51" s="202"/>
      <c r="F51" s="202"/>
      <c r="G51" s="203"/>
      <c r="J51" s="139"/>
      <c r="K51" s="158" t="s">
        <v>181</v>
      </c>
      <c r="N51" s="101"/>
    </row>
    <row r="52" spans="1:14" ht="23" thickTop="1">
      <c r="A52" s="26" t="s">
        <v>103</v>
      </c>
      <c r="B52" s="38" t="s">
        <v>142</v>
      </c>
      <c r="C52" s="39" t="s">
        <v>143</v>
      </c>
      <c r="D52" s="41" t="s">
        <v>116</v>
      </c>
      <c r="E52" s="50">
        <v>1</v>
      </c>
      <c r="F52" s="51">
        <v>100000</v>
      </c>
      <c r="G52" s="52">
        <f>F52*E52</f>
        <v>100000</v>
      </c>
      <c r="J52" s="139">
        <v>100000</v>
      </c>
      <c r="K52" s="158" t="s">
        <v>181</v>
      </c>
      <c r="N52" s="101"/>
    </row>
    <row r="53" spans="1:14" ht="22">
      <c r="A53" s="40" t="s">
        <v>104</v>
      </c>
      <c r="B53" s="6" t="s">
        <v>88</v>
      </c>
      <c r="C53" s="22" t="s">
        <v>123</v>
      </c>
      <c r="D53" s="42" t="s">
        <v>91</v>
      </c>
      <c r="E53" s="53">
        <v>1</v>
      </c>
      <c r="F53" s="54">
        <v>150000</v>
      </c>
      <c r="G53" s="55">
        <f>SUM(E53*F53)</f>
        <v>150000</v>
      </c>
      <c r="J53" s="139">
        <v>150000</v>
      </c>
      <c r="N53" s="101"/>
    </row>
    <row r="54" spans="1:14" ht="22">
      <c r="A54" s="40" t="s">
        <v>105</v>
      </c>
      <c r="B54" s="6" t="s">
        <v>89</v>
      </c>
      <c r="C54" s="22" t="s">
        <v>109</v>
      </c>
      <c r="D54" s="42" t="s">
        <v>91</v>
      </c>
      <c r="E54" s="53">
        <v>1</v>
      </c>
      <c r="F54" s="54">
        <v>270000</v>
      </c>
      <c r="G54" s="55">
        <f>SUM(E54*F54)</f>
        <v>270000</v>
      </c>
      <c r="J54" s="139">
        <v>270000</v>
      </c>
      <c r="N54" s="101"/>
    </row>
    <row r="55" spans="1:14" ht="22">
      <c r="A55" s="40" t="s">
        <v>106</v>
      </c>
      <c r="B55" s="6" t="s">
        <v>110</v>
      </c>
      <c r="C55" s="22" t="s">
        <v>112</v>
      </c>
      <c r="D55" s="42" t="s">
        <v>91</v>
      </c>
      <c r="E55" s="53">
        <v>1</v>
      </c>
      <c r="F55" s="54">
        <v>16000</v>
      </c>
      <c r="G55" s="55">
        <f>SUM(E55*F55)</f>
        <v>16000</v>
      </c>
      <c r="I55" s="130">
        <f>G55/20</f>
        <v>800</v>
      </c>
      <c r="J55" s="138">
        <f t="shared" ref="J55:J56" si="9">G55/20*6</f>
        <v>4800</v>
      </c>
      <c r="N55" s="101"/>
    </row>
    <row r="56" spans="1:14" ht="22">
      <c r="A56" s="40" t="s">
        <v>111</v>
      </c>
      <c r="B56" s="6" t="s">
        <v>114</v>
      </c>
      <c r="C56" s="22" t="s">
        <v>115</v>
      </c>
      <c r="D56" s="42" t="s">
        <v>14</v>
      </c>
      <c r="E56" s="53">
        <v>70</v>
      </c>
      <c r="F56" s="54">
        <v>900</v>
      </c>
      <c r="G56" s="55">
        <f t="shared" ref="G56:G58" si="10">SUM(E56*F56)</f>
        <v>63000</v>
      </c>
      <c r="I56" s="130">
        <f t="shared" ref="I56" si="11">G56/20</f>
        <v>3150</v>
      </c>
      <c r="J56" s="138">
        <f t="shared" si="9"/>
        <v>18900</v>
      </c>
      <c r="N56" s="101"/>
    </row>
    <row r="57" spans="1:14" ht="110">
      <c r="A57" s="40" t="s">
        <v>113</v>
      </c>
      <c r="B57" s="6" t="s">
        <v>90</v>
      </c>
      <c r="C57" s="22" t="s">
        <v>117</v>
      </c>
      <c r="D57" s="42" t="s">
        <v>14</v>
      </c>
      <c r="E57" s="53">
        <v>1</v>
      </c>
      <c r="F57" s="54">
        <v>5219</v>
      </c>
      <c r="G57" s="55">
        <f t="shared" si="10"/>
        <v>5219</v>
      </c>
      <c r="J57" s="139">
        <v>5219</v>
      </c>
      <c r="N57" s="101"/>
    </row>
    <row r="58" spans="1:14" ht="58" thickBot="1">
      <c r="A58" s="92" t="s">
        <v>145</v>
      </c>
      <c r="B58" s="93" t="s">
        <v>141</v>
      </c>
      <c r="C58" s="94" t="s">
        <v>144</v>
      </c>
      <c r="D58" s="95" t="s">
        <v>14</v>
      </c>
      <c r="E58" s="96">
        <v>1</v>
      </c>
      <c r="F58" s="97">
        <v>100000</v>
      </c>
      <c r="G58" s="98">
        <f t="shared" si="10"/>
        <v>100000</v>
      </c>
      <c r="J58" s="139">
        <v>100000</v>
      </c>
      <c r="K58" s="168" t="s">
        <v>186</v>
      </c>
      <c r="N58" s="103" t="s">
        <v>154</v>
      </c>
    </row>
    <row r="59" spans="1:14" ht="23" thickTop="1">
      <c r="A59" s="5"/>
      <c r="B59" s="5"/>
      <c r="E59" s="7" t="s">
        <v>9</v>
      </c>
      <c r="F59" s="199">
        <f>SUM(G15:G53,G55,G57,G58)</f>
        <v>1234359</v>
      </c>
      <c r="G59" s="199"/>
      <c r="I59" s="136">
        <f>SUM(I15:I58)</f>
        <v>323637.5</v>
      </c>
      <c r="J59" s="136">
        <f>SUM(J15:J53,J55,J57:J58)</f>
        <v>835534</v>
      </c>
    </row>
    <row r="60" spans="1:14" ht="22">
      <c r="E60" s="7" t="s">
        <v>10</v>
      </c>
      <c r="F60" s="199">
        <f>F59*0.05</f>
        <v>61717.950000000004</v>
      </c>
      <c r="G60" s="199"/>
      <c r="J60" s="166">
        <f>J59*0.05</f>
        <v>41776.700000000004</v>
      </c>
    </row>
    <row r="61" spans="1:14" ht="23" thickBot="1">
      <c r="E61" s="8" t="s">
        <v>11</v>
      </c>
      <c r="F61" s="191">
        <f>SUM(F59:G60,G54,G56)</f>
        <v>1629076.95</v>
      </c>
      <c r="G61" s="191"/>
      <c r="J61" s="132"/>
    </row>
    <row r="62" spans="1:14" ht="21" thickTop="1">
      <c r="I62" s="180">
        <f>F61-J62</f>
        <v>462866.25</v>
      </c>
      <c r="J62" s="137">
        <f>SUM(J59:J60,J54,J56)</f>
        <v>1166210.7</v>
      </c>
    </row>
    <row r="63" spans="1:14" ht="17" thickBot="1"/>
    <row r="64" spans="1:14" ht="25" thickTop="1" thickBot="1">
      <c r="D64" s="192" t="s">
        <v>12</v>
      </c>
      <c r="E64" s="193"/>
      <c r="F64" s="193"/>
      <c r="G64" s="194"/>
      <c r="J64" s="157"/>
    </row>
    <row r="65" spans="1:7" ht="19" thickTop="1">
      <c r="A65" s="47" t="s">
        <v>128</v>
      </c>
      <c r="B65" s="47"/>
      <c r="C65" s="47"/>
      <c r="D65" s="9"/>
      <c r="G65" s="10"/>
    </row>
    <row r="66" spans="1:7" ht="18">
      <c r="A66" s="47" t="s">
        <v>124</v>
      </c>
      <c r="B66" s="47"/>
      <c r="C66" s="47"/>
      <c r="D66" s="9"/>
      <c r="G66" s="10"/>
    </row>
    <row r="67" spans="1:7" ht="18">
      <c r="A67" s="47" t="s">
        <v>125</v>
      </c>
      <c r="B67" s="47"/>
      <c r="C67" s="47"/>
      <c r="D67" s="9"/>
      <c r="G67" s="10"/>
    </row>
    <row r="68" spans="1:7" ht="18">
      <c r="A68" s="47" t="s">
        <v>126</v>
      </c>
      <c r="B68" s="47"/>
      <c r="C68" s="47"/>
      <c r="D68" s="9"/>
      <c r="G68" s="10"/>
    </row>
    <row r="69" spans="1:7" ht="18">
      <c r="A69" s="47" t="s">
        <v>127</v>
      </c>
      <c r="B69" s="47"/>
      <c r="C69" s="47"/>
      <c r="D69" s="9"/>
      <c r="G69" s="10"/>
    </row>
    <row r="70" spans="1:7" ht="24" thickBot="1">
      <c r="A70" s="47" t="s">
        <v>129</v>
      </c>
      <c r="B70" s="47"/>
      <c r="C70" s="47"/>
      <c r="D70" s="11" t="s">
        <v>13</v>
      </c>
      <c r="E70" s="12"/>
      <c r="F70" s="13"/>
      <c r="G70" s="14"/>
    </row>
    <row r="71" spans="1:7" ht="17" thickTop="1"/>
  </sheetData>
  <mergeCells count="12">
    <mergeCell ref="A7:G7"/>
    <mergeCell ref="A9:G9"/>
    <mergeCell ref="F61:G61"/>
    <mergeCell ref="D64:G64"/>
    <mergeCell ref="A14:G14"/>
    <mergeCell ref="F59:G59"/>
    <mergeCell ref="F60:G60"/>
    <mergeCell ref="A45:G45"/>
    <mergeCell ref="A51:G51"/>
    <mergeCell ref="A31:G31"/>
    <mergeCell ref="A37:B37"/>
    <mergeCell ref="A48:G48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71" orientation="portrait" r:id="rId1"/>
  <rowBreaks count="1" manualBreakCount="1">
    <brk id="44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71B0D-25E8-4FEB-8017-E002A2D96D77}">
  <sheetPr>
    <tabColor theme="5" tint="-0.249977111117893"/>
    <pageSetUpPr fitToPage="1"/>
  </sheetPr>
  <dimension ref="A7:Z72"/>
  <sheetViews>
    <sheetView topLeftCell="A40" zoomScale="55" zoomScaleNormal="55" workbookViewId="0">
      <selection activeCell="H43" sqref="H43"/>
    </sheetView>
  </sheetViews>
  <sheetFormatPr baseColWidth="10" defaultColWidth="9" defaultRowHeight="16"/>
  <cols>
    <col min="1" max="1" width="10.83203125" style="1" customWidth="1"/>
    <col min="2" max="2" width="24.1640625" style="1" customWidth="1"/>
    <col min="3" max="3" width="46.1640625" style="1" customWidth="1"/>
    <col min="4" max="4" width="9.83203125" style="1" customWidth="1"/>
    <col min="5" max="5" width="9.33203125" style="4" customWidth="1"/>
    <col min="6" max="6" width="9.5" style="1" customWidth="1"/>
    <col min="7" max="7" width="12" style="1" customWidth="1"/>
    <col min="8" max="8" width="19.33203125" style="1" customWidth="1"/>
    <col min="9" max="11" width="9.6640625" style="132" customWidth="1"/>
    <col min="12" max="12" width="9" style="1"/>
    <col min="13" max="13" width="25.33203125" style="1" customWidth="1"/>
    <col min="14" max="17" width="9" style="1"/>
    <col min="18" max="18" width="23" style="1" customWidth="1"/>
    <col min="19" max="19" width="13.6640625" style="1" customWidth="1"/>
    <col min="20" max="16384" width="9" style="1"/>
  </cols>
  <sheetData>
    <row r="7" spans="1:26" ht="26">
      <c r="A7" s="186" t="s">
        <v>0</v>
      </c>
      <c r="B7" s="186"/>
      <c r="C7" s="186"/>
      <c r="D7" s="186"/>
      <c r="E7" s="187"/>
      <c r="F7" s="187"/>
      <c r="G7" s="187"/>
    </row>
    <row r="9" spans="1:26" ht="27" thickBot="1">
      <c r="A9" s="188" t="s">
        <v>1</v>
      </c>
      <c r="B9" s="189"/>
      <c r="C9" s="189"/>
      <c r="D9" s="189"/>
      <c r="E9" s="189"/>
      <c r="F9" s="190"/>
      <c r="G9" s="190"/>
    </row>
    <row r="10" spans="1:26" ht="17" thickTop="1">
      <c r="A10" s="2"/>
      <c r="E10" s="3"/>
      <c r="F10" s="2"/>
      <c r="G10" s="2"/>
    </row>
    <row r="11" spans="1:26" ht="21">
      <c r="A11" s="19" t="s">
        <v>101</v>
      </c>
      <c r="E11" s="24"/>
      <c r="F11" s="23" t="str">
        <f ca="1">"日期 : " &amp; TEXT(TODAY(), "yyyy年mm月dd日")</f>
        <v>日期 : 2025年12月18日</v>
      </c>
      <c r="L11" s="47" t="s">
        <v>187</v>
      </c>
    </row>
    <row r="12" spans="1:26" ht="17" thickBot="1"/>
    <row r="13" spans="1:26" ht="21" customHeight="1" thickTop="1" thickBot="1">
      <c r="A13" s="15" t="s">
        <v>2</v>
      </c>
      <c r="B13" s="16" t="s">
        <v>3</v>
      </c>
      <c r="C13" s="16" t="s">
        <v>4</v>
      </c>
      <c r="D13" s="16" t="s">
        <v>5</v>
      </c>
      <c r="E13" s="16" t="s">
        <v>6</v>
      </c>
      <c r="F13" s="17" t="s">
        <v>7</v>
      </c>
      <c r="G13" s="18" t="s">
        <v>8</v>
      </c>
      <c r="L13" s="216" t="s">
        <v>172</v>
      </c>
      <c r="M13" s="217"/>
      <c r="N13" s="211" t="s">
        <v>173</v>
      </c>
      <c r="O13" s="211" t="s">
        <v>174</v>
      </c>
      <c r="P13" s="211" t="s">
        <v>175</v>
      </c>
      <c r="Q13" s="211" t="s">
        <v>176</v>
      </c>
      <c r="R13" s="146" t="s">
        <v>177</v>
      </c>
    </row>
    <row r="14" spans="1:26" ht="21" customHeight="1" thickTop="1" thickBot="1">
      <c r="A14" s="195" t="s">
        <v>65</v>
      </c>
      <c r="B14" s="196"/>
      <c r="C14" s="197"/>
      <c r="D14" s="197"/>
      <c r="E14" s="197"/>
      <c r="F14" s="197"/>
      <c r="G14" s="198"/>
      <c r="H14" s="140" t="s">
        <v>162</v>
      </c>
      <c r="I14" s="133" t="s">
        <v>182</v>
      </c>
      <c r="J14" s="133"/>
      <c r="K14" s="133"/>
      <c r="L14" s="218"/>
      <c r="M14" s="219"/>
      <c r="N14" s="212"/>
      <c r="O14" s="212"/>
      <c r="P14" s="212"/>
      <c r="Q14" s="212"/>
      <c r="R14" s="147" t="s">
        <v>178</v>
      </c>
    </row>
    <row r="15" spans="1:26" s="5" customFormat="1" ht="25" customHeight="1" thickTop="1" thickBot="1">
      <c r="A15" s="26" t="s">
        <v>66</v>
      </c>
      <c r="B15" s="27" t="s">
        <v>15</v>
      </c>
      <c r="C15" s="28" t="s">
        <v>16</v>
      </c>
      <c r="D15" s="43" t="s">
        <v>17</v>
      </c>
      <c r="E15" s="56">
        <v>2400</v>
      </c>
      <c r="F15" s="57">
        <v>18</v>
      </c>
      <c r="G15" s="60">
        <f t="shared" ref="G15:G30" si="0">SUM(E15*F15)</f>
        <v>43200</v>
      </c>
      <c r="H15" s="138">
        <f>G15/20*6</f>
        <v>12960</v>
      </c>
      <c r="I15" s="158" t="s">
        <v>181</v>
      </c>
      <c r="J15" s="134"/>
      <c r="K15" s="134"/>
      <c r="L15" s="145" t="s">
        <v>163</v>
      </c>
      <c r="M15" s="156" t="s">
        <v>179</v>
      </c>
      <c r="N15" s="148"/>
      <c r="O15" s="142"/>
      <c r="P15" s="150"/>
      <c r="Q15" s="149"/>
      <c r="R15" s="151">
        <v>30000</v>
      </c>
      <c r="S15" s="1"/>
      <c r="T15" s="1"/>
      <c r="U15" s="1"/>
      <c r="V15" s="1"/>
      <c r="W15" s="1"/>
      <c r="X15" s="1"/>
      <c r="Y15" s="1"/>
      <c r="Z15" s="1"/>
    </row>
    <row r="16" spans="1:26" s="5" customFormat="1" ht="25" customHeight="1" thickBot="1">
      <c r="A16" s="25" t="s">
        <v>67</v>
      </c>
      <c r="B16" s="21" t="s">
        <v>18</v>
      </c>
      <c r="C16" s="20" t="s">
        <v>19</v>
      </c>
      <c r="D16" s="45" t="s">
        <v>20</v>
      </c>
      <c r="E16" s="64">
        <v>13</v>
      </c>
      <c r="F16" s="69">
        <v>950</v>
      </c>
      <c r="G16" s="70">
        <f t="shared" si="0"/>
        <v>12350</v>
      </c>
      <c r="H16" s="138">
        <f t="shared" ref="H16:H18" si="1">G16/20*6</f>
        <v>3705</v>
      </c>
      <c r="I16" s="158" t="s">
        <v>181</v>
      </c>
      <c r="J16" s="134"/>
      <c r="K16" s="134"/>
      <c r="L16" s="213" t="s">
        <v>164</v>
      </c>
      <c r="M16" s="141" t="s">
        <v>165</v>
      </c>
      <c r="N16" s="148"/>
      <c r="O16" s="150"/>
      <c r="P16" s="150"/>
      <c r="Q16" s="152"/>
      <c r="R16" s="170" t="s">
        <v>188</v>
      </c>
      <c r="S16" s="1"/>
      <c r="T16" s="1"/>
      <c r="U16" s="1"/>
      <c r="V16" s="1"/>
      <c r="W16" s="1"/>
      <c r="X16" s="1"/>
      <c r="Y16" s="1"/>
      <c r="Z16" s="1"/>
    </row>
    <row r="17" spans="1:26" s="5" customFormat="1" ht="25" customHeight="1" thickBot="1">
      <c r="A17" s="25" t="s">
        <v>68</v>
      </c>
      <c r="B17" s="21" t="s">
        <v>157</v>
      </c>
      <c r="C17" s="20" t="s">
        <v>21</v>
      </c>
      <c r="D17" s="45" t="s">
        <v>22</v>
      </c>
      <c r="E17" s="64">
        <v>1</v>
      </c>
      <c r="F17" s="69">
        <v>3600</v>
      </c>
      <c r="G17" s="70">
        <f t="shared" si="0"/>
        <v>3600</v>
      </c>
      <c r="H17" s="138">
        <f t="shared" si="1"/>
        <v>1080</v>
      </c>
      <c r="I17" s="158" t="s">
        <v>181</v>
      </c>
      <c r="J17" s="134"/>
      <c r="K17" s="134"/>
      <c r="L17" s="214"/>
      <c r="M17" s="141" t="s">
        <v>166</v>
      </c>
      <c r="N17" s="148"/>
      <c r="O17" s="150"/>
      <c r="P17" s="150"/>
      <c r="Q17" s="149"/>
      <c r="R17" s="142" t="s">
        <v>180</v>
      </c>
      <c r="S17" s="1"/>
      <c r="T17" s="1"/>
      <c r="U17" s="1"/>
      <c r="V17" s="1"/>
      <c r="W17" s="1"/>
      <c r="X17" s="1"/>
      <c r="Y17" s="1"/>
      <c r="Z17" s="1"/>
    </row>
    <row r="18" spans="1:26" s="5" customFormat="1" ht="25" customHeight="1" thickBot="1">
      <c r="A18" s="71" t="s">
        <v>69</v>
      </c>
      <c r="B18" s="72" t="s">
        <v>23</v>
      </c>
      <c r="C18" s="73" t="s">
        <v>24</v>
      </c>
      <c r="D18" s="74" t="s">
        <v>20</v>
      </c>
      <c r="E18" s="105">
        <v>6</v>
      </c>
      <c r="F18" s="76">
        <v>2300</v>
      </c>
      <c r="G18" s="78">
        <f t="shared" si="0"/>
        <v>13800</v>
      </c>
      <c r="H18" s="138">
        <f t="shared" si="1"/>
        <v>4140</v>
      </c>
      <c r="I18" s="158" t="s">
        <v>181</v>
      </c>
      <c r="J18" s="134"/>
      <c r="K18" s="134"/>
      <c r="L18" s="214"/>
      <c r="M18" s="141" t="s">
        <v>167</v>
      </c>
      <c r="N18" s="148"/>
      <c r="O18" s="150"/>
      <c r="P18" s="150"/>
      <c r="Q18" s="149"/>
      <c r="R18" s="142" t="s">
        <v>180</v>
      </c>
      <c r="S18" s="1"/>
      <c r="T18" s="1"/>
      <c r="U18" s="1"/>
      <c r="V18" s="1"/>
      <c r="W18" s="1"/>
      <c r="X18" s="1"/>
      <c r="Y18" s="1"/>
      <c r="Z18" s="1"/>
    </row>
    <row r="19" spans="1:26" s="5" customFormat="1" ht="25" customHeight="1" thickBot="1">
      <c r="A19" s="25" t="s">
        <v>70</v>
      </c>
      <c r="B19" s="21" t="s">
        <v>25</v>
      </c>
      <c r="C19" s="20" t="s">
        <v>26</v>
      </c>
      <c r="D19" s="45" t="s">
        <v>22</v>
      </c>
      <c r="E19" s="64">
        <v>1</v>
      </c>
      <c r="F19" s="69">
        <v>7800</v>
      </c>
      <c r="G19" s="70">
        <f t="shared" si="0"/>
        <v>7800</v>
      </c>
      <c r="H19" s="139">
        <v>7800</v>
      </c>
      <c r="I19" s="132"/>
      <c r="J19" s="132"/>
      <c r="K19" s="132"/>
      <c r="L19" s="214"/>
      <c r="M19" s="141" t="s">
        <v>168</v>
      </c>
      <c r="N19" s="148"/>
      <c r="O19" s="153"/>
      <c r="P19" s="150"/>
      <c r="Q19" s="152"/>
      <c r="R19" s="151" t="s">
        <v>180</v>
      </c>
      <c r="S19" s="1"/>
      <c r="T19" s="1"/>
      <c r="U19" s="1"/>
      <c r="V19" s="1"/>
      <c r="W19" s="1"/>
      <c r="X19" s="1"/>
      <c r="Y19" s="1"/>
      <c r="Z19" s="1"/>
    </row>
    <row r="20" spans="1:26" s="5" customFormat="1" ht="25" customHeight="1" thickBot="1">
      <c r="A20" s="25" t="s">
        <v>71</v>
      </c>
      <c r="B20" s="21" t="s">
        <v>27</v>
      </c>
      <c r="C20" s="20" t="s">
        <v>28</v>
      </c>
      <c r="D20" s="45" t="s">
        <v>20</v>
      </c>
      <c r="E20" s="64">
        <v>36</v>
      </c>
      <c r="F20" s="69">
        <v>1900</v>
      </c>
      <c r="G20" s="70">
        <f t="shared" si="0"/>
        <v>68400</v>
      </c>
      <c r="H20" s="139">
        <v>68400</v>
      </c>
      <c r="I20" s="132"/>
      <c r="J20" s="132"/>
      <c r="K20" s="132"/>
      <c r="L20" s="214"/>
      <c r="M20" s="141" t="s">
        <v>169</v>
      </c>
      <c r="N20" s="148"/>
      <c r="O20" s="150"/>
      <c r="P20" s="150"/>
      <c r="Q20" s="152"/>
      <c r="R20" s="151" t="s">
        <v>180</v>
      </c>
      <c r="S20" s="1"/>
      <c r="T20" s="1"/>
      <c r="U20" s="1"/>
      <c r="V20" s="1"/>
      <c r="W20" s="1"/>
      <c r="X20" s="1"/>
      <c r="Y20" s="1"/>
      <c r="Z20" s="1"/>
    </row>
    <row r="21" spans="1:26" s="5" customFormat="1" ht="25" customHeight="1" thickBot="1">
      <c r="A21" s="25" t="s">
        <v>72</v>
      </c>
      <c r="B21" s="21" t="s">
        <v>29</v>
      </c>
      <c r="C21" s="20" t="s">
        <v>30</v>
      </c>
      <c r="D21" s="45" t="s">
        <v>22</v>
      </c>
      <c r="E21" s="64">
        <v>4</v>
      </c>
      <c r="F21" s="69">
        <v>5800</v>
      </c>
      <c r="G21" s="70">
        <f t="shared" si="0"/>
        <v>23200</v>
      </c>
      <c r="H21" s="139">
        <v>23200</v>
      </c>
      <c r="I21" s="132"/>
      <c r="J21" s="132"/>
      <c r="K21" s="132"/>
      <c r="L21" s="214"/>
      <c r="M21" s="141" t="s">
        <v>170</v>
      </c>
      <c r="N21" s="148"/>
      <c r="O21" s="150"/>
      <c r="P21" s="150"/>
      <c r="Q21" s="152"/>
      <c r="R21" s="183" t="s">
        <v>180</v>
      </c>
      <c r="S21" s="1"/>
      <c r="T21" s="1"/>
      <c r="U21" s="1"/>
      <c r="V21" s="1"/>
      <c r="W21" s="1"/>
      <c r="X21" s="1"/>
      <c r="Y21" s="1"/>
      <c r="Z21" s="1"/>
    </row>
    <row r="22" spans="1:26" s="5" customFormat="1" ht="25" customHeight="1" thickBot="1">
      <c r="A22" s="25" t="s">
        <v>73</v>
      </c>
      <c r="B22" s="21" t="s">
        <v>31</v>
      </c>
      <c r="C22" s="20" t="s">
        <v>32</v>
      </c>
      <c r="D22" s="45" t="s">
        <v>22</v>
      </c>
      <c r="E22" s="64">
        <v>1</v>
      </c>
      <c r="F22" s="69">
        <v>30000</v>
      </c>
      <c r="G22" s="70">
        <f t="shared" si="0"/>
        <v>30000</v>
      </c>
      <c r="H22" s="139">
        <v>30000</v>
      </c>
      <c r="I22" s="132"/>
      <c r="J22" s="132"/>
      <c r="K22" s="132"/>
      <c r="L22" s="215"/>
      <c r="M22" s="141"/>
      <c r="N22" s="148"/>
      <c r="O22" s="150"/>
      <c r="P22" s="150"/>
      <c r="Q22" s="182"/>
      <c r="R22" s="184"/>
      <c r="S22" s="185">
        <v>1050000</v>
      </c>
      <c r="T22" s="1"/>
      <c r="U22" s="1"/>
      <c r="V22" s="1"/>
      <c r="W22" s="1"/>
      <c r="X22" s="1"/>
      <c r="Y22" s="1"/>
      <c r="Z22" s="1"/>
    </row>
    <row r="23" spans="1:26" s="5" customFormat="1" ht="25" customHeight="1" thickBot="1">
      <c r="A23" s="25" t="s">
        <v>74</v>
      </c>
      <c r="B23" s="21" t="s">
        <v>33</v>
      </c>
      <c r="C23" s="20" t="s">
        <v>34</v>
      </c>
      <c r="D23" s="45" t="s">
        <v>17</v>
      </c>
      <c r="E23" s="64">
        <v>400</v>
      </c>
      <c r="F23" s="69">
        <v>150</v>
      </c>
      <c r="G23" s="70">
        <f t="shared" si="0"/>
        <v>60000</v>
      </c>
      <c r="H23" s="139">
        <v>60000</v>
      </c>
      <c r="I23" s="132"/>
      <c r="J23" s="132"/>
      <c r="K23" s="132"/>
      <c r="L23" s="143" t="s">
        <v>171</v>
      </c>
      <c r="M23" s="144" t="s">
        <v>171</v>
      </c>
      <c r="N23" s="154"/>
      <c r="O23" s="150"/>
      <c r="P23" s="150"/>
      <c r="Q23" s="155"/>
      <c r="R23" s="151">
        <v>70000</v>
      </c>
      <c r="S23" s="1"/>
      <c r="T23" s="1"/>
      <c r="U23" s="1"/>
      <c r="V23" s="1"/>
      <c r="W23" s="1"/>
      <c r="X23" s="1"/>
      <c r="Y23" s="1"/>
      <c r="Z23" s="1"/>
    </row>
    <row r="24" spans="1:26" s="5" customFormat="1" ht="25" customHeight="1">
      <c r="A24" s="25" t="s">
        <v>75</v>
      </c>
      <c r="B24" s="21" t="s">
        <v>35</v>
      </c>
      <c r="C24" s="20" t="s">
        <v>36</v>
      </c>
      <c r="D24" s="45" t="s">
        <v>17</v>
      </c>
      <c r="E24" s="64">
        <v>390</v>
      </c>
      <c r="F24" s="69">
        <v>150</v>
      </c>
      <c r="G24" s="70">
        <f t="shared" si="0"/>
        <v>58500</v>
      </c>
      <c r="H24" s="139">
        <v>58500</v>
      </c>
      <c r="I24" s="132"/>
      <c r="J24" s="132"/>
      <c r="K24" s="132"/>
      <c r="L24" s="1"/>
      <c r="M24" s="1"/>
      <c r="N24" s="1"/>
      <c r="O24" s="1"/>
      <c r="P24" s="1"/>
      <c r="Q24" s="1"/>
      <c r="R24" s="169"/>
      <c r="S24" s="1"/>
      <c r="T24" s="1"/>
      <c r="U24" s="1"/>
      <c r="V24" s="1"/>
      <c r="W24" s="1"/>
      <c r="X24" s="1"/>
      <c r="Y24" s="1"/>
      <c r="Z24" s="1"/>
    </row>
    <row r="25" spans="1:26" s="5" customFormat="1" ht="25" customHeight="1">
      <c r="A25" s="71" t="s">
        <v>76</v>
      </c>
      <c r="B25" s="72" t="s">
        <v>37</v>
      </c>
      <c r="C25" s="73" t="s">
        <v>38</v>
      </c>
      <c r="D25" s="74" t="s">
        <v>22</v>
      </c>
      <c r="E25" s="77">
        <v>27</v>
      </c>
      <c r="F25" s="76">
        <v>1450</v>
      </c>
      <c r="G25" s="78">
        <f t="shared" si="0"/>
        <v>39150</v>
      </c>
      <c r="H25" s="139">
        <v>39150</v>
      </c>
      <c r="I25" s="132"/>
      <c r="J25" s="132"/>
      <c r="K25" s="132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s="5" customFormat="1" ht="25" customHeight="1">
      <c r="A26" s="25" t="s">
        <v>77</v>
      </c>
      <c r="B26" s="21" t="s">
        <v>39</v>
      </c>
      <c r="C26" s="20" t="s">
        <v>40</v>
      </c>
      <c r="D26" s="45" t="s">
        <v>22</v>
      </c>
      <c r="E26" s="64">
        <v>14</v>
      </c>
      <c r="F26" s="69">
        <v>750</v>
      </c>
      <c r="G26" s="70">
        <f t="shared" si="0"/>
        <v>10500</v>
      </c>
      <c r="H26" s="138">
        <f t="shared" ref="H26" si="2">G26/20*6</f>
        <v>3150</v>
      </c>
      <c r="I26" s="158" t="s">
        <v>181</v>
      </c>
      <c r="J26" s="132"/>
      <c r="K26" s="132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s="5" customFormat="1" ht="25" customHeight="1">
      <c r="A27" s="25" t="s">
        <v>78</v>
      </c>
      <c r="B27" s="21" t="s">
        <v>41</v>
      </c>
      <c r="C27" s="20" t="s">
        <v>107</v>
      </c>
      <c r="D27" s="45" t="s">
        <v>22</v>
      </c>
      <c r="E27" s="64">
        <v>1</v>
      </c>
      <c r="F27" s="69">
        <v>680</v>
      </c>
      <c r="G27" s="70">
        <f t="shared" si="0"/>
        <v>680</v>
      </c>
      <c r="H27" s="139">
        <v>680</v>
      </c>
      <c r="I27" s="132"/>
      <c r="J27" s="132"/>
      <c r="K27" s="132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s="5" customFormat="1" ht="25" customHeight="1">
      <c r="A28" s="25" t="s">
        <v>79</v>
      </c>
      <c r="B28" s="21" t="s">
        <v>42</v>
      </c>
      <c r="C28" s="20" t="s">
        <v>43</v>
      </c>
      <c r="D28" s="45" t="s">
        <v>22</v>
      </c>
      <c r="E28" s="64">
        <v>8</v>
      </c>
      <c r="F28" s="69">
        <v>950</v>
      </c>
      <c r="G28" s="70">
        <f t="shared" si="0"/>
        <v>7600</v>
      </c>
      <c r="H28" s="138">
        <f t="shared" ref="H28:H29" si="3">G28/20*6</f>
        <v>2280</v>
      </c>
      <c r="I28" s="158" t="s">
        <v>181</v>
      </c>
      <c r="J28" s="132"/>
      <c r="K28" s="132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s="5" customFormat="1" ht="25" customHeight="1">
      <c r="A29" s="40" t="s">
        <v>80</v>
      </c>
      <c r="B29" s="20" t="s">
        <v>44</v>
      </c>
      <c r="C29" s="20" t="s">
        <v>45</v>
      </c>
      <c r="D29" s="45" t="s">
        <v>22</v>
      </c>
      <c r="E29" s="64">
        <v>30</v>
      </c>
      <c r="F29" s="69">
        <v>90</v>
      </c>
      <c r="G29" s="70">
        <f t="shared" si="0"/>
        <v>2700</v>
      </c>
      <c r="H29" s="138">
        <f t="shared" si="3"/>
        <v>810</v>
      </c>
      <c r="I29" s="158" t="s">
        <v>181</v>
      </c>
      <c r="J29" s="132"/>
      <c r="K29" s="132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s="5" customFormat="1" ht="25" customHeight="1" thickBot="1">
      <c r="A30" s="108" t="s">
        <v>138</v>
      </c>
      <c r="B30" s="109" t="s">
        <v>139</v>
      </c>
      <c r="C30" s="109" t="s">
        <v>140</v>
      </c>
      <c r="D30" s="110" t="s">
        <v>22</v>
      </c>
      <c r="E30" s="111">
        <v>1</v>
      </c>
      <c r="F30" s="112">
        <v>7000</v>
      </c>
      <c r="G30" s="113">
        <f t="shared" si="0"/>
        <v>7000</v>
      </c>
      <c r="H30" s="172"/>
      <c r="I30" s="132"/>
      <c r="J30" s="132"/>
      <c r="K30" s="132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s="5" customFormat="1" ht="23" thickTop="1" thickBot="1">
      <c r="A31" s="206" t="s">
        <v>81</v>
      </c>
      <c r="B31" s="201"/>
      <c r="C31" s="202"/>
      <c r="D31" s="202"/>
      <c r="E31" s="202"/>
      <c r="F31" s="202"/>
      <c r="G31" s="203"/>
      <c r="H31" s="139"/>
      <c r="I31" s="132"/>
      <c r="J31" s="132"/>
      <c r="K31" s="132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s="5" customFormat="1" ht="25" customHeight="1" thickTop="1">
      <c r="A32" s="79" t="s">
        <v>82</v>
      </c>
      <c r="B32" s="80" t="s">
        <v>46</v>
      </c>
      <c r="C32" s="81" t="s">
        <v>47</v>
      </c>
      <c r="D32" s="82" t="s">
        <v>22</v>
      </c>
      <c r="E32" s="84">
        <v>1</v>
      </c>
      <c r="F32" s="83">
        <v>3600</v>
      </c>
      <c r="G32" s="85">
        <f t="shared" ref="G32:G35" si="4">SUM(E32*F32)</f>
        <v>3600</v>
      </c>
      <c r="H32" s="139">
        <v>3600</v>
      </c>
      <c r="I32" s="132"/>
      <c r="J32" s="132"/>
      <c r="K32" s="132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s="5" customFormat="1" ht="34.5" customHeight="1">
      <c r="A33" s="86" t="s">
        <v>83</v>
      </c>
      <c r="B33" s="87" t="s">
        <v>136</v>
      </c>
      <c r="C33" s="88" t="s">
        <v>137</v>
      </c>
      <c r="D33" s="89" t="s">
        <v>22</v>
      </c>
      <c r="E33" s="77">
        <v>6.5</v>
      </c>
      <c r="F33" s="90">
        <v>2800</v>
      </c>
      <c r="G33" s="78">
        <f t="shared" si="4"/>
        <v>18200</v>
      </c>
      <c r="H33" s="139">
        <v>18200</v>
      </c>
      <c r="I33" s="132"/>
      <c r="J33" s="132"/>
      <c r="K33" s="132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s="5" customFormat="1" ht="25" customHeight="1">
      <c r="A34" s="91" t="s">
        <v>133</v>
      </c>
      <c r="B34" s="72" t="s">
        <v>48</v>
      </c>
      <c r="C34" s="73" t="s">
        <v>150</v>
      </c>
      <c r="D34" s="74" t="s">
        <v>22</v>
      </c>
      <c r="E34" s="75">
        <v>1</v>
      </c>
      <c r="F34" s="90">
        <v>10900</v>
      </c>
      <c r="G34" s="78">
        <f t="shared" si="4"/>
        <v>10900</v>
      </c>
      <c r="H34" s="139">
        <v>10900</v>
      </c>
      <c r="I34" s="132"/>
      <c r="J34" s="132"/>
      <c r="K34" s="132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s="5" customFormat="1" ht="25" customHeight="1">
      <c r="A35" s="48" t="s">
        <v>134</v>
      </c>
      <c r="B35" s="21" t="s">
        <v>49</v>
      </c>
      <c r="C35" s="20" t="s">
        <v>50</v>
      </c>
      <c r="D35" s="45" t="s">
        <v>17</v>
      </c>
      <c r="E35" s="64">
        <v>180</v>
      </c>
      <c r="F35" s="69">
        <v>150</v>
      </c>
      <c r="G35" s="70">
        <f t="shared" si="4"/>
        <v>27000</v>
      </c>
      <c r="H35" s="139">
        <v>27000</v>
      </c>
      <c r="I35" s="132"/>
      <c r="J35" s="132"/>
      <c r="K35" s="132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s="5" customFormat="1" ht="25" customHeight="1" thickBot="1">
      <c r="A36" s="49" t="s">
        <v>135</v>
      </c>
      <c r="B36" s="30" t="s">
        <v>51</v>
      </c>
      <c r="C36" s="31" t="s">
        <v>52</v>
      </c>
      <c r="D36" s="44" t="s">
        <v>22</v>
      </c>
      <c r="E36" s="58">
        <v>2</v>
      </c>
      <c r="F36" s="59">
        <v>850</v>
      </c>
      <c r="G36" s="61">
        <f>SUM(E36*F36)</f>
        <v>1700</v>
      </c>
      <c r="H36" s="139">
        <v>1700</v>
      </c>
      <c r="I36" s="132"/>
      <c r="J36" s="132"/>
      <c r="K36" s="132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s="5" customFormat="1" ht="25" customHeight="1" thickTop="1" thickBot="1">
      <c r="A37" s="206" t="s">
        <v>92</v>
      </c>
      <c r="B37" s="201"/>
      <c r="C37" s="33"/>
      <c r="D37" s="34"/>
      <c r="E37" s="35"/>
      <c r="F37" s="36"/>
      <c r="G37" s="37"/>
      <c r="H37" s="139"/>
      <c r="I37" s="132"/>
      <c r="J37" s="132"/>
      <c r="K37" s="132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s="5" customFormat="1" ht="25" customHeight="1" thickTop="1">
      <c r="A38" s="26" t="s">
        <v>84</v>
      </c>
      <c r="B38" s="32" t="s">
        <v>53</v>
      </c>
      <c r="C38" s="28" t="s">
        <v>54</v>
      </c>
      <c r="D38" s="43" t="s">
        <v>22</v>
      </c>
      <c r="E38" s="56">
        <v>1</v>
      </c>
      <c r="F38" s="62">
        <v>1300</v>
      </c>
      <c r="G38" s="63">
        <f t="shared" ref="G38:G44" si="5">SUM(E38*F38)</f>
        <v>1300</v>
      </c>
      <c r="H38" s="139">
        <v>1300</v>
      </c>
      <c r="I38" s="132"/>
      <c r="J38" s="132"/>
      <c r="K38" s="132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s="5" customFormat="1" ht="25" customHeight="1">
      <c r="A39" s="25" t="s">
        <v>85</v>
      </c>
      <c r="B39" s="21" t="s">
        <v>55</v>
      </c>
      <c r="C39" s="20" t="s">
        <v>56</v>
      </c>
      <c r="D39" s="45" t="s">
        <v>22</v>
      </c>
      <c r="E39" s="64">
        <v>1</v>
      </c>
      <c r="F39" s="65">
        <v>4800</v>
      </c>
      <c r="G39" s="66">
        <f t="shared" si="5"/>
        <v>4800</v>
      </c>
      <c r="H39" s="139">
        <v>4800</v>
      </c>
      <c r="I39" s="132"/>
      <c r="J39" s="132"/>
      <c r="K39" s="132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s="5" customFormat="1" ht="25" customHeight="1">
      <c r="A40" s="25" t="s">
        <v>94</v>
      </c>
      <c r="B40" s="21" t="s">
        <v>57</v>
      </c>
      <c r="C40" s="20" t="s">
        <v>58</v>
      </c>
      <c r="D40" s="45" t="s">
        <v>22</v>
      </c>
      <c r="E40" s="64">
        <v>3</v>
      </c>
      <c r="F40" s="65">
        <v>1900</v>
      </c>
      <c r="G40" s="66">
        <f t="shared" si="5"/>
        <v>5700</v>
      </c>
      <c r="H40" s="139">
        <v>5700</v>
      </c>
      <c r="I40" s="132"/>
      <c r="J40" s="132"/>
      <c r="K40" s="132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s="5" customFormat="1" ht="25" customHeight="1">
      <c r="A41" s="25" t="s">
        <v>95</v>
      </c>
      <c r="B41" s="21" t="s">
        <v>48</v>
      </c>
      <c r="C41" s="20" t="s">
        <v>59</v>
      </c>
      <c r="D41" s="45" t="s">
        <v>22</v>
      </c>
      <c r="E41" s="64">
        <v>1</v>
      </c>
      <c r="F41" s="65">
        <v>9540</v>
      </c>
      <c r="G41" s="66">
        <f t="shared" si="5"/>
        <v>9540</v>
      </c>
      <c r="H41" s="139">
        <v>9540</v>
      </c>
      <c r="I41" s="132"/>
      <c r="J41" s="132"/>
      <c r="K41" s="132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" customHeight="1">
      <c r="A42" s="25" t="s">
        <v>96</v>
      </c>
      <c r="B42" s="21" t="s">
        <v>49</v>
      </c>
      <c r="C42" s="20" t="s">
        <v>60</v>
      </c>
      <c r="D42" s="45" t="s">
        <v>17</v>
      </c>
      <c r="E42" s="64">
        <v>278</v>
      </c>
      <c r="F42" s="65">
        <v>150</v>
      </c>
      <c r="G42" s="66">
        <f t="shared" si="5"/>
        <v>41700</v>
      </c>
      <c r="H42" s="139">
        <v>41700</v>
      </c>
    </row>
    <row r="43" spans="1:26" ht="94.5" customHeight="1">
      <c r="A43" s="25" t="s">
        <v>97</v>
      </c>
      <c r="B43" s="20" t="s">
        <v>121</v>
      </c>
      <c r="C43" s="20" t="s">
        <v>122</v>
      </c>
      <c r="D43" s="45" t="s">
        <v>22</v>
      </c>
      <c r="E43" s="64">
        <v>1</v>
      </c>
      <c r="F43" s="65">
        <v>17500</v>
      </c>
      <c r="G43" s="66">
        <f t="shared" si="5"/>
        <v>17500</v>
      </c>
      <c r="H43" s="139">
        <v>17500</v>
      </c>
    </row>
    <row r="44" spans="1:26" ht="25" customHeight="1" thickBot="1">
      <c r="A44" s="29" t="s">
        <v>98</v>
      </c>
      <c r="B44" s="46" t="s">
        <v>61</v>
      </c>
      <c r="C44" s="31" t="s">
        <v>62</v>
      </c>
      <c r="D44" s="44" t="s">
        <v>22</v>
      </c>
      <c r="E44" s="58">
        <v>22</v>
      </c>
      <c r="F44" s="67">
        <v>260</v>
      </c>
      <c r="G44" s="68">
        <f t="shared" si="5"/>
        <v>5720</v>
      </c>
      <c r="H44" s="139">
        <v>5720</v>
      </c>
    </row>
    <row r="45" spans="1:26" ht="25" customHeight="1" thickTop="1" thickBot="1">
      <c r="A45" s="200" t="s">
        <v>93</v>
      </c>
      <c r="B45" s="201"/>
      <c r="C45" s="202"/>
      <c r="D45" s="202"/>
      <c r="E45" s="202"/>
      <c r="F45" s="202"/>
      <c r="G45" s="203"/>
      <c r="H45" s="139"/>
    </row>
    <row r="46" spans="1:26" ht="36.75" customHeight="1" thickTop="1">
      <c r="A46" s="114" t="s">
        <v>86</v>
      </c>
      <c r="B46" s="115" t="s">
        <v>63</v>
      </c>
      <c r="C46" s="116" t="s">
        <v>108</v>
      </c>
      <c r="D46" s="117" t="s">
        <v>22</v>
      </c>
      <c r="E46" s="118">
        <v>6</v>
      </c>
      <c r="F46" s="119">
        <v>19500</v>
      </c>
      <c r="G46" s="120">
        <f t="shared" ref="G46:G47" si="6">SUM(E46*F46)</f>
        <v>117000</v>
      </c>
      <c r="H46" s="172"/>
    </row>
    <row r="47" spans="1:26" ht="77" thickBot="1">
      <c r="A47" s="121" t="s">
        <v>87</v>
      </c>
      <c r="B47" s="122" t="s">
        <v>64</v>
      </c>
      <c r="C47" s="123" t="s">
        <v>130</v>
      </c>
      <c r="D47" s="124" t="s">
        <v>22</v>
      </c>
      <c r="E47" s="125">
        <v>4</v>
      </c>
      <c r="F47" s="112">
        <v>37000</v>
      </c>
      <c r="G47" s="113">
        <f t="shared" si="6"/>
        <v>148000</v>
      </c>
      <c r="H47" s="172"/>
    </row>
    <row r="48" spans="1:26" ht="23" thickTop="1" thickBot="1">
      <c r="A48" s="207" t="s">
        <v>118</v>
      </c>
      <c r="B48" s="208"/>
      <c r="C48" s="209"/>
      <c r="D48" s="209"/>
      <c r="E48" s="209"/>
      <c r="F48" s="209"/>
      <c r="G48" s="210"/>
      <c r="H48" s="139"/>
    </row>
    <row r="49" spans="1:9" ht="22" thickTop="1">
      <c r="A49" s="26" t="s">
        <v>99</v>
      </c>
      <c r="B49" s="28" t="s">
        <v>131</v>
      </c>
      <c r="C49" s="28" t="s">
        <v>132</v>
      </c>
      <c r="D49" s="43" t="s">
        <v>22</v>
      </c>
      <c r="E49" s="56">
        <v>1</v>
      </c>
      <c r="F49" s="57">
        <v>12000</v>
      </c>
      <c r="G49" s="52">
        <f>E49*F49</f>
        <v>12000</v>
      </c>
      <c r="H49" s="139">
        <v>12000</v>
      </c>
    </row>
    <row r="50" spans="1:9" ht="96" thickBot="1">
      <c r="A50" s="126" t="s">
        <v>100</v>
      </c>
      <c r="B50" s="123" t="s">
        <v>119</v>
      </c>
      <c r="C50" s="123" t="s">
        <v>120</v>
      </c>
      <c r="D50" s="124" t="s">
        <v>14</v>
      </c>
      <c r="E50" s="125">
        <v>4</v>
      </c>
      <c r="F50" s="127">
        <v>12500</v>
      </c>
      <c r="G50" s="128">
        <f>E50*F50</f>
        <v>50000</v>
      </c>
      <c r="H50" s="172"/>
      <c r="I50" s="181" t="s">
        <v>183</v>
      </c>
    </row>
    <row r="51" spans="1:9" ht="25" thickTop="1" thickBot="1">
      <c r="A51" s="204" t="s">
        <v>102</v>
      </c>
      <c r="B51" s="205"/>
      <c r="C51" s="202"/>
      <c r="D51" s="202"/>
      <c r="E51" s="202"/>
      <c r="F51" s="202"/>
      <c r="G51" s="203"/>
      <c r="H51" s="139"/>
      <c r="I51" s="158" t="s">
        <v>181</v>
      </c>
    </row>
    <row r="52" spans="1:9" ht="23" thickTop="1">
      <c r="A52" s="26" t="s">
        <v>103</v>
      </c>
      <c r="B52" s="38" t="s">
        <v>142</v>
      </c>
      <c r="C52" s="39" t="s">
        <v>143</v>
      </c>
      <c r="D52" s="41" t="s">
        <v>116</v>
      </c>
      <c r="E52" s="50">
        <v>1</v>
      </c>
      <c r="F52" s="51">
        <v>100000</v>
      </c>
      <c r="G52" s="52">
        <f>F52*E52</f>
        <v>100000</v>
      </c>
      <c r="H52" s="139">
        <v>100000</v>
      </c>
      <c r="I52" s="158" t="s">
        <v>181</v>
      </c>
    </row>
    <row r="53" spans="1:9" ht="22">
      <c r="A53" s="40" t="s">
        <v>104</v>
      </c>
      <c r="B53" s="6" t="s">
        <v>88</v>
      </c>
      <c r="C53" s="22" t="s">
        <v>123</v>
      </c>
      <c r="D53" s="42" t="s">
        <v>91</v>
      </c>
      <c r="E53" s="53">
        <v>1</v>
      </c>
      <c r="F53" s="54">
        <v>150000</v>
      </c>
      <c r="G53" s="55">
        <f>SUM(E53*F53)</f>
        <v>150000</v>
      </c>
      <c r="H53" s="139">
        <v>150000</v>
      </c>
    </row>
    <row r="54" spans="1:9" ht="22">
      <c r="A54" s="159" t="s">
        <v>105</v>
      </c>
      <c r="B54" s="160" t="s">
        <v>89</v>
      </c>
      <c r="C54" s="161" t="s">
        <v>184</v>
      </c>
      <c r="D54" s="162" t="s">
        <v>91</v>
      </c>
      <c r="E54" s="163">
        <v>1</v>
      </c>
      <c r="F54" s="164">
        <v>270000</v>
      </c>
      <c r="G54" s="165">
        <f>SUM(E54*F54)</f>
        <v>270000</v>
      </c>
      <c r="H54" s="139">
        <v>270000</v>
      </c>
    </row>
    <row r="55" spans="1:9" ht="22">
      <c r="A55" s="40" t="s">
        <v>106</v>
      </c>
      <c r="B55" s="6" t="s">
        <v>110</v>
      </c>
      <c r="C55" s="22" t="s">
        <v>112</v>
      </c>
      <c r="D55" s="42" t="s">
        <v>91</v>
      </c>
      <c r="E55" s="53">
        <v>1</v>
      </c>
      <c r="F55" s="54">
        <v>16000</v>
      </c>
      <c r="G55" s="55">
        <f>SUM(E55*F55)</f>
        <v>16000</v>
      </c>
      <c r="H55" s="138">
        <f t="shared" ref="H55:H56" si="7">G55/20*6</f>
        <v>4800</v>
      </c>
    </row>
    <row r="56" spans="1:9" ht="22">
      <c r="A56" s="159" t="s">
        <v>111</v>
      </c>
      <c r="B56" s="160" t="s">
        <v>114</v>
      </c>
      <c r="C56" s="161" t="s">
        <v>185</v>
      </c>
      <c r="D56" s="162" t="s">
        <v>14</v>
      </c>
      <c r="E56" s="163">
        <v>70</v>
      </c>
      <c r="F56" s="164">
        <v>900</v>
      </c>
      <c r="G56" s="165">
        <f t="shared" ref="G56:G58" si="8">SUM(E56*F56)</f>
        <v>63000</v>
      </c>
      <c r="H56" s="138">
        <f t="shared" si="7"/>
        <v>18900</v>
      </c>
    </row>
    <row r="57" spans="1:9" ht="110">
      <c r="A57" s="40" t="s">
        <v>113</v>
      </c>
      <c r="B57" s="6" t="s">
        <v>90</v>
      </c>
      <c r="C57" s="22" t="s">
        <v>117</v>
      </c>
      <c r="D57" s="42" t="s">
        <v>14</v>
      </c>
      <c r="E57" s="53">
        <v>1</v>
      </c>
      <c r="F57" s="54">
        <v>5219</v>
      </c>
      <c r="G57" s="55">
        <f t="shared" si="8"/>
        <v>5219</v>
      </c>
      <c r="H57" s="139">
        <v>5219</v>
      </c>
    </row>
    <row r="58" spans="1:9" ht="23" thickBot="1">
      <c r="A58" s="92" t="s">
        <v>145</v>
      </c>
      <c r="B58" s="93" t="s">
        <v>141</v>
      </c>
      <c r="C58" s="94" t="s">
        <v>144</v>
      </c>
      <c r="D58" s="95" t="s">
        <v>14</v>
      </c>
      <c r="E58" s="96">
        <v>1</v>
      </c>
      <c r="F58" s="97">
        <v>100000</v>
      </c>
      <c r="G58" s="98">
        <f t="shared" si="8"/>
        <v>100000</v>
      </c>
      <c r="H58" s="139">
        <v>100000</v>
      </c>
      <c r="I58" s="168" t="s">
        <v>186</v>
      </c>
    </row>
    <row r="59" spans="1:9" ht="23" thickTop="1">
      <c r="A59" s="5"/>
      <c r="B59" s="5"/>
      <c r="E59" s="7" t="s">
        <v>9</v>
      </c>
      <c r="F59" s="199">
        <f>SUM(G15:G53,G55,G57,G58)</f>
        <v>1234359</v>
      </c>
      <c r="G59" s="199"/>
      <c r="H59" s="136">
        <f>SUM(H15:H53,H55,H57:H58)</f>
        <v>835534</v>
      </c>
    </row>
    <row r="60" spans="1:9" ht="22">
      <c r="E60" s="7" t="s">
        <v>10</v>
      </c>
      <c r="F60" s="199">
        <f>F59*0.05</f>
        <v>61717.950000000004</v>
      </c>
      <c r="G60" s="199"/>
      <c r="H60" s="166">
        <f>H59*0.05</f>
        <v>41776.700000000004</v>
      </c>
    </row>
    <row r="61" spans="1:9" ht="21">
      <c r="E61" s="7"/>
      <c r="F61" s="104"/>
      <c r="G61" s="104"/>
      <c r="H61" s="132"/>
    </row>
    <row r="62" spans="1:9" ht="23" thickBot="1">
      <c r="E62" s="8" t="s">
        <v>11</v>
      </c>
      <c r="F62" s="191">
        <f>SUM(F59:G60,G54,G56)</f>
        <v>1629076.95</v>
      </c>
      <c r="G62" s="191"/>
      <c r="H62" s="137">
        <f>SUM(H59:H60,H54,H56)</f>
        <v>1166210.7</v>
      </c>
    </row>
    <row r="63" spans="1:9" ht="17" thickTop="1"/>
    <row r="64" spans="1:9" ht="17" thickBot="1">
      <c r="H64" s="157"/>
    </row>
    <row r="65" spans="1:7" ht="25" thickTop="1" thickBot="1">
      <c r="D65" s="192" t="s">
        <v>12</v>
      </c>
      <c r="E65" s="193"/>
      <c r="F65" s="193"/>
      <c r="G65" s="194"/>
    </row>
    <row r="66" spans="1:7" ht="19" thickTop="1">
      <c r="A66" s="47" t="s">
        <v>128</v>
      </c>
      <c r="B66" s="47"/>
      <c r="C66" s="47"/>
      <c r="D66" s="9"/>
      <c r="G66" s="10"/>
    </row>
    <row r="67" spans="1:7" ht="18">
      <c r="A67" s="47" t="s">
        <v>124</v>
      </c>
      <c r="B67" s="47"/>
      <c r="C67" s="47"/>
      <c r="D67" s="9"/>
      <c r="G67" s="10"/>
    </row>
    <row r="68" spans="1:7" ht="18">
      <c r="A68" s="47" t="s">
        <v>125</v>
      </c>
      <c r="B68" s="47"/>
      <c r="C68" s="47"/>
      <c r="D68" s="9"/>
      <c r="G68" s="10"/>
    </row>
    <row r="69" spans="1:7" ht="18">
      <c r="A69" s="47" t="s">
        <v>126</v>
      </c>
      <c r="B69" s="47"/>
      <c r="C69" s="47"/>
      <c r="D69" s="9"/>
      <c r="G69" s="10"/>
    </row>
    <row r="70" spans="1:7" ht="18">
      <c r="A70" s="47" t="s">
        <v>127</v>
      </c>
      <c r="B70" s="47"/>
      <c r="C70" s="47"/>
      <c r="D70" s="9"/>
      <c r="G70" s="10"/>
    </row>
    <row r="71" spans="1:7" ht="24" thickBot="1">
      <c r="A71" s="47" t="s">
        <v>129</v>
      </c>
      <c r="B71" s="47"/>
      <c r="C71" s="47"/>
      <c r="D71" s="11" t="s">
        <v>13</v>
      </c>
      <c r="E71" s="12"/>
      <c r="F71" s="13"/>
      <c r="G71" s="14"/>
    </row>
    <row r="72" spans="1:7" ht="17" thickTop="1"/>
  </sheetData>
  <mergeCells count="18">
    <mergeCell ref="F60:G60"/>
    <mergeCell ref="F62:G62"/>
    <mergeCell ref="D65:G65"/>
    <mergeCell ref="A7:G7"/>
    <mergeCell ref="A9:G9"/>
    <mergeCell ref="A14:G14"/>
    <mergeCell ref="A31:G31"/>
    <mergeCell ref="A37:B37"/>
    <mergeCell ref="Q13:Q14"/>
    <mergeCell ref="L16:L22"/>
    <mergeCell ref="A48:G48"/>
    <mergeCell ref="A51:G51"/>
    <mergeCell ref="F59:G59"/>
    <mergeCell ref="A45:G45"/>
    <mergeCell ref="L13:M14"/>
    <mergeCell ref="N13:N14"/>
    <mergeCell ref="O13:O14"/>
    <mergeCell ref="P13:P14"/>
  </mergeCells>
  <phoneticPr fontId="3" type="noConversion"/>
  <printOptions horizontalCentered="1"/>
  <pageMargins left="0" right="0" top="0" bottom="0" header="0.31496062992125984" footer="0.31496062992125984"/>
  <pageSetup paperSize="9" scale="46" fitToWidth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3F898-F231-4377-8EC8-4DE5FF479E17}">
  <sheetPr>
    <tabColor theme="9" tint="-0.249977111117893"/>
    <pageSetUpPr fitToPage="1"/>
  </sheetPr>
  <dimension ref="A7:AB71"/>
  <sheetViews>
    <sheetView topLeftCell="A43" zoomScale="55" zoomScaleNormal="55" workbookViewId="0">
      <selection activeCell="E57" sqref="E57"/>
    </sheetView>
  </sheetViews>
  <sheetFormatPr baseColWidth="10" defaultColWidth="9" defaultRowHeight="16"/>
  <cols>
    <col min="1" max="1" width="10.83203125" style="1" customWidth="1"/>
    <col min="2" max="2" width="24.1640625" style="1" customWidth="1"/>
    <col min="3" max="3" width="46.1640625" style="1" customWidth="1"/>
    <col min="4" max="4" width="9.83203125" style="1" customWidth="1"/>
    <col min="5" max="5" width="9.33203125" style="4" customWidth="1"/>
    <col min="6" max="6" width="9.5" style="1" customWidth="1"/>
    <col min="7" max="7" width="12" style="1" customWidth="1"/>
    <col min="8" max="8" width="15" style="1" customWidth="1"/>
    <col min="9" max="9" width="14.33203125" style="1" bestFit="1" customWidth="1"/>
    <col min="10" max="10" width="12.6640625" style="1" customWidth="1"/>
    <col min="11" max="11" width="9.5" style="132" customWidth="1"/>
    <col min="12" max="12" width="12.6640625" style="132" customWidth="1"/>
    <col min="13" max="13" width="23.6640625" style="132" customWidth="1"/>
    <col min="14" max="16" width="9" style="1"/>
    <col min="17" max="17" width="14.1640625" style="1" customWidth="1"/>
    <col min="18" max="16384" width="9" style="1"/>
  </cols>
  <sheetData>
    <row r="7" spans="1:28" ht="26">
      <c r="A7" s="186" t="s">
        <v>0</v>
      </c>
      <c r="B7" s="186"/>
      <c r="C7" s="186"/>
      <c r="D7" s="186"/>
      <c r="E7" s="187"/>
      <c r="F7" s="187"/>
      <c r="G7" s="187"/>
    </row>
    <row r="9" spans="1:28" ht="27" thickBot="1">
      <c r="A9" s="188" t="s">
        <v>1</v>
      </c>
      <c r="B9" s="189"/>
      <c r="C9" s="189"/>
      <c r="D9" s="189"/>
      <c r="E9" s="189"/>
      <c r="F9" s="190"/>
      <c r="G9" s="190"/>
    </row>
    <row r="10" spans="1:28" ht="17" thickTop="1">
      <c r="A10" s="2"/>
      <c r="E10" s="3"/>
      <c r="F10" s="2"/>
      <c r="G10" s="2"/>
    </row>
    <row r="11" spans="1:28" ht="21">
      <c r="A11" s="19" t="s">
        <v>101</v>
      </c>
      <c r="E11" s="24"/>
      <c r="F11" s="23" t="str">
        <f ca="1">"日期 : " &amp; TEXT(TODAY(), "yyyy年mm月dd日")</f>
        <v>日期 : 2025年12月18日</v>
      </c>
    </row>
    <row r="12" spans="1:28" ht="17" thickBot="1"/>
    <row r="13" spans="1:28" ht="21" customHeight="1" thickTop="1" thickBot="1">
      <c r="A13" s="15" t="s">
        <v>2</v>
      </c>
      <c r="B13" s="16" t="s">
        <v>3</v>
      </c>
      <c r="C13" s="16" t="s">
        <v>4</v>
      </c>
      <c r="D13" s="16" t="s">
        <v>5</v>
      </c>
      <c r="E13" s="16" t="s">
        <v>6</v>
      </c>
      <c r="F13" s="17" t="s">
        <v>7</v>
      </c>
      <c r="G13" s="18" t="s">
        <v>8</v>
      </c>
    </row>
    <row r="14" spans="1:28" ht="21" customHeight="1" thickTop="1" thickBot="1">
      <c r="A14" s="195" t="s">
        <v>65</v>
      </c>
      <c r="B14" s="196"/>
      <c r="C14" s="197"/>
      <c r="D14" s="197"/>
      <c r="E14" s="197"/>
      <c r="F14" s="197"/>
      <c r="G14" s="198"/>
      <c r="H14" s="176"/>
      <c r="I14" s="129" t="s">
        <v>159</v>
      </c>
      <c r="J14" s="129"/>
      <c r="K14" s="133"/>
      <c r="L14" s="133"/>
      <c r="M14" s="133"/>
    </row>
    <row r="15" spans="1:28" s="5" customFormat="1" ht="25" customHeight="1" thickTop="1">
      <c r="A15" s="26" t="s">
        <v>66</v>
      </c>
      <c r="B15" s="27" t="s">
        <v>15</v>
      </c>
      <c r="C15" s="28" t="s">
        <v>16</v>
      </c>
      <c r="D15" s="43" t="s">
        <v>17</v>
      </c>
      <c r="E15" s="56">
        <v>2400</v>
      </c>
      <c r="F15" s="57">
        <v>18</v>
      </c>
      <c r="G15" s="60">
        <f t="shared" ref="G15:G30" si="0">SUM(E15*F15)</f>
        <v>43200</v>
      </c>
      <c r="H15" s="1"/>
      <c r="I15" s="130">
        <f>G15/20</f>
        <v>2160</v>
      </c>
      <c r="J15" s="130"/>
      <c r="K15" s="158"/>
      <c r="L15" s="134"/>
      <c r="M15" s="134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s="5" customFormat="1" ht="25" customHeight="1">
      <c r="A16" s="25" t="s">
        <v>67</v>
      </c>
      <c r="B16" s="21" t="s">
        <v>18</v>
      </c>
      <c r="C16" s="20" t="s">
        <v>19</v>
      </c>
      <c r="D16" s="45" t="s">
        <v>20</v>
      </c>
      <c r="E16" s="64">
        <v>13</v>
      </c>
      <c r="F16" s="69">
        <v>950</v>
      </c>
      <c r="G16" s="70">
        <f t="shared" si="0"/>
        <v>12350</v>
      </c>
      <c r="H16" s="1"/>
      <c r="I16" s="130">
        <f t="shared" ref="I16:I17" si="1">G16/20</f>
        <v>617.5</v>
      </c>
      <c r="J16" s="130"/>
      <c r="K16" s="158"/>
      <c r="L16" s="134"/>
      <c r="M16" s="134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s="5" customFormat="1" ht="25" customHeight="1">
      <c r="A17" s="25" t="s">
        <v>68</v>
      </c>
      <c r="B17" s="21" t="s">
        <v>157</v>
      </c>
      <c r="C17" s="20" t="s">
        <v>21</v>
      </c>
      <c r="D17" s="45" t="s">
        <v>22</v>
      </c>
      <c r="E17" s="64">
        <v>1</v>
      </c>
      <c r="F17" s="69">
        <v>3600</v>
      </c>
      <c r="G17" s="70">
        <f t="shared" si="0"/>
        <v>3600</v>
      </c>
      <c r="H17" s="1"/>
      <c r="I17" s="130">
        <f t="shared" si="1"/>
        <v>180</v>
      </c>
      <c r="J17" s="130"/>
      <c r="K17" s="158"/>
      <c r="L17" s="134"/>
      <c r="M17" s="134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s="5" customFormat="1" ht="25" customHeight="1">
      <c r="A18" s="71" t="s">
        <v>69</v>
      </c>
      <c r="B18" s="72" t="s">
        <v>23</v>
      </c>
      <c r="C18" s="73" t="s">
        <v>24</v>
      </c>
      <c r="D18" s="74" t="s">
        <v>20</v>
      </c>
      <c r="E18" s="105">
        <v>6</v>
      </c>
      <c r="F18" s="76">
        <v>2300</v>
      </c>
      <c r="G18" s="78">
        <f t="shared" si="0"/>
        <v>13800</v>
      </c>
      <c r="H18" s="175"/>
      <c r="I18" s="130">
        <f>G18/20</f>
        <v>690</v>
      </c>
      <c r="J18" s="130"/>
      <c r="K18" s="158"/>
      <c r="L18" s="134"/>
      <c r="M18" s="134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s="5" customFormat="1" ht="25" customHeight="1">
      <c r="A19" s="25" t="s">
        <v>70</v>
      </c>
      <c r="B19" s="21" t="s">
        <v>25</v>
      </c>
      <c r="C19" s="20" t="s">
        <v>26</v>
      </c>
      <c r="D19" s="45" t="s">
        <v>22</v>
      </c>
      <c r="E19" s="64">
        <v>1</v>
      </c>
      <c r="F19" s="69">
        <v>7800</v>
      </c>
      <c r="G19" s="70">
        <f t="shared" si="0"/>
        <v>7800</v>
      </c>
      <c r="H19" s="1"/>
      <c r="I19" s="1"/>
      <c r="J19" s="1"/>
      <c r="K19" s="132"/>
      <c r="L19" s="132"/>
      <c r="M19" s="132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s="5" customFormat="1" ht="25" customHeight="1">
      <c r="A20" s="25" t="s">
        <v>71</v>
      </c>
      <c r="B20" s="21" t="s">
        <v>27</v>
      </c>
      <c r="C20" s="20" t="s">
        <v>28</v>
      </c>
      <c r="D20" s="45" t="s">
        <v>20</v>
      </c>
      <c r="E20" s="64">
        <v>36</v>
      </c>
      <c r="F20" s="69">
        <v>1900</v>
      </c>
      <c r="G20" s="70">
        <f t="shared" si="0"/>
        <v>68400</v>
      </c>
      <c r="H20" s="1"/>
      <c r="I20" s="1"/>
      <c r="J20" s="1"/>
      <c r="K20" s="132"/>
      <c r="L20" s="132"/>
      <c r="M20" s="132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s="5" customFormat="1" ht="25" customHeight="1">
      <c r="A21" s="25" t="s">
        <v>72</v>
      </c>
      <c r="B21" s="21" t="s">
        <v>29</v>
      </c>
      <c r="C21" s="20" t="s">
        <v>30</v>
      </c>
      <c r="D21" s="45" t="s">
        <v>22</v>
      </c>
      <c r="E21" s="64">
        <v>4</v>
      </c>
      <c r="F21" s="69">
        <v>5800</v>
      </c>
      <c r="G21" s="70">
        <f t="shared" si="0"/>
        <v>23200</v>
      </c>
      <c r="H21" s="1"/>
      <c r="I21" s="1"/>
      <c r="J21" s="1"/>
      <c r="K21" s="132"/>
      <c r="L21" s="132"/>
      <c r="M21" s="132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s="5" customFormat="1" ht="25" customHeight="1">
      <c r="A22" s="25" t="s">
        <v>73</v>
      </c>
      <c r="B22" s="21" t="s">
        <v>31</v>
      </c>
      <c r="C22" s="20" t="s">
        <v>32</v>
      </c>
      <c r="D22" s="45" t="s">
        <v>22</v>
      </c>
      <c r="E22" s="64">
        <v>1</v>
      </c>
      <c r="F22" s="69">
        <v>30000</v>
      </c>
      <c r="G22" s="70">
        <f t="shared" si="0"/>
        <v>30000</v>
      </c>
      <c r="H22" s="175"/>
      <c r="I22" s="131"/>
      <c r="J22" s="131"/>
      <c r="K22" s="132"/>
      <c r="L22" s="132"/>
      <c r="M22" s="132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s="5" customFormat="1" ht="25" customHeight="1">
      <c r="A23" s="25" t="s">
        <v>74</v>
      </c>
      <c r="B23" s="21" t="s">
        <v>33</v>
      </c>
      <c r="C23" s="20" t="s">
        <v>34</v>
      </c>
      <c r="D23" s="45" t="s">
        <v>17</v>
      </c>
      <c r="E23" s="64">
        <v>400</v>
      </c>
      <c r="F23" s="69">
        <v>150</v>
      </c>
      <c r="G23" s="70">
        <f t="shared" si="0"/>
        <v>60000</v>
      </c>
      <c r="H23" s="1"/>
      <c r="I23" s="1"/>
      <c r="J23" s="1"/>
      <c r="K23" s="132"/>
      <c r="L23" s="132"/>
      <c r="M23" s="132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s="5" customFormat="1" ht="25" customHeight="1">
      <c r="A24" s="25" t="s">
        <v>75</v>
      </c>
      <c r="B24" s="21" t="s">
        <v>35</v>
      </c>
      <c r="C24" s="20" t="s">
        <v>36</v>
      </c>
      <c r="D24" s="45" t="s">
        <v>17</v>
      </c>
      <c r="E24" s="64">
        <v>390</v>
      </c>
      <c r="F24" s="69">
        <v>150</v>
      </c>
      <c r="G24" s="70">
        <f t="shared" si="0"/>
        <v>58500</v>
      </c>
      <c r="H24" s="1"/>
      <c r="I24" s="1"/>
      <c r="J24" s="1"/>
      <c r="K24" s="132"/>
      <c r="L24" s="132"/>
      <c r="M24" s="132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s="5" customFormat="1" ht="25" customHeight="1">
      <c r="A25" s="71" t="s">
        <v>76</v>
      </c>
      <c r="B25" s="72" t="s">
        <v>37</v>
      </c>
      <c r="C25" s="73" t="s">
        <v>38</v>
      </c>
      <c r="D25" s="74" t="s">
        <v>22</v>
      </c>
      <c r="E25" s="77">
        <v>27</v>
      </c>
      <c r="F25" s="76">
        <v>1450</v>
      </c>
      <c r="G25" s="78">
        <f t="shared" si="0"/>
        <v>39150</v>
      </c>
      <c r="H25" s="1"/>
      <c r="I25" s="1"/>
      <c r="J25" s="1"/>
      <c r="K25" s="132"/>
      <c r="L25" s="132"/>
      <c r="M25" s="132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s="5" customFormat="1" ht="25" customHeight="1">
      <c r="A26" s="25" t="s">
        <v>77</v>
      </c>
      <c r="B26" s="21" t="s">
        <v>39</v>
      </c>
      <c r="C26" s="20" t="s">
        <v>40</v>
      </c>
      <c r="D26" s="45" t="s">
        <v>22</v>
      </c>
      <c r="E26" s="64">
        <v>14</v>
      </c>
      <c r="F26" s="69">
        <v>750</v>
      </c>
      <c r="G26" s="70">
        <f t="shared" si="0"/>
        <v>10500</v>
      </c>
      <c r="H26" s="1"/>
      <c r="I26" s="130">
        <f>G26/20</f>
        <v>525</v>
      </c>
      <c r="J26" s="130"/>
      <c r="K26" s="158"/>
      <c r="L26" s="132"/>
      <c r="M26" s="132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s="5" customFormat="1" ht="25" customHeight="1">
      <c r="A27" s="25" t="s">
        <v>78</v>
      </c>
      <c r="B27" s="21" t="s">
        <v>41</v>
      </c>
      <c r="C27" s="20" t="s">
        <v>107</v>
      </c>
      <c r="D27" s="45" t="s">
        <v>22</v>
      </c>
      <c r="E27" s="64">
        <v>1</v>
      </c>
      <c r="F27" s="69">
        <v>680</v>
      </c>
      <c r="G27" s="70">
        <f t="shared" si="0"/>
        <v>680</v>
      </c>
      <c r="H27" s="1"/>
      <c r="I27" s="1"/>
      <c r="J27" s="1"/>
      <c r="K27" s="132"/>
      <c r="L27" s="132"/>
      <c r="M27" s="132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s="5" customFormat="1" ht="25" customHeight="1">
      <c r="A28" s="25" t="s">
        <v>79</v>
      </c>
      <c r="B28" s="21" t="s">
        <v>42</v>
      </c>
      <c r="C28" s="20" t="s">
        <v>43</v>
      </c>
      <c r="D28" s="45" t="s">
        <v>22</v>
      </c>
      <c r="E28" s="64">
        <v>8</v>
      </c>
      <c r="F28" s="69">
        <v>950</v>
      </c>
      <c r="G28" s="70">
        <f t="shared" si="0"/>
        <v>7600</v>
      </c>
      <c r="H28" s="1"/>
      <c r="I28" s="130">
        <f t="shared" ref="I28:I29" si="2">G28/20</f>
        <v>380</v>
      </c>
      <c r="J28" s="130"/>
      <c r="K28" s="158"/>
      <c r="L28" s="132"/>
      <c r="M28" s="132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s="5" customFormat="1" ht="25" customHeight="1">
      <c r="A29" s="40" t="s">
        <v>80</v>
      </c>
      <c r="B29" s="20" t="s">
        <v>44</v>
      </c>
      <c r="C29" s="20" t="s">
        <v>45</v>
      </c>
      <c r="D29" s="45" t="s">
        <v>22</v>
      </c>
      <c r="E29" s="64">
        <v>30</v>
      </c>
      <c r="F29" s="69">
        <v>90</v>
      </c>
      <c r="G29" s="70">
        <f t="shared" si="0"/>
        <v>2700</v>
      </c>
      <c r="H29" s="1"/>
      <c r="I29" s="130">
        <f t="shared" si="2"/>
        <v>135</v>
      </c>
      <c r="J29" s="130"/>
      <c r="K29" s="158"/>
      <c r="L29" s="132"/>
      <c r="M29" s="132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s="5" customFormat="1" ht="25" customHeight="1" thickBot="1">
      <c r="A30" s="108" t="s">
        <v>138</v>
      </c>
      <c r="B30" s="109" t="s">
        <v>139</v>
      </c>
      <c r="C30" s="109" t="s">
        <v>140</v>
      </c>
      <c r="D30" s="110" t="s">
        <v>22</v>
      </c>
      <c r="E30" s="111">
        <v>1</v>
      </c>
      <c r="F30" s="112">
        <v>7000</v>
      </c>
      <c r="G30" s="113">
        <f t="shared" si="0"/>
        <v>7000</v>
      </c>
      <c r="H30" s="1"/>
      <c r="I30" s="47" t="s">
        <v>198</v>
      </c>
      <c r="J30" s="1"/>
      <c r="K30" s="108" t="s">
        <v>138</v>
      </c>
      <c r="L30" s="109" t="s">
        <v>139</v>
      </c>
      <c r="M30" s="109" t="s">
        <v>140</v>
      </c>
      <c r="N30" s="110" t="s">
        <v>22</v>
      </c>
      <c r="O30" s="111">
        <v>1</v>
      </c>
      <c r="P30" s="112">
        <v>7000</v>
      </c>
      <c r="Q30" s="113">
        <f t="shared" ref="Q30" si="3">SUM(O30*P30)</f>
        <v>7000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s="5" customFormat="1" ht="23" thickTop="1" thickBot="1">
      <c r="A31" s="206" t="s">
        <v>81</v>
      </c>
      <c r="B31" s="201"/>
      <c r="C31" s="202"/>
      <c r="D31" s="202"/>
      <c r="E31" s="202"/>
      <c r="F31" s="202"/>
      <c r="G31" s="203"/>
      <c r="H31" s="1"/>
      <c r="I31" s="1"/>
      <c r="J31" s="1"/>
      <c r="K31" s="132"/>
      <c r="L31" s="132"/>
      <c r="M31" s="132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s="5" customFormat="1" ht="25" customHeight="1" thickTop="1">
      <c r="A32" s="79" t="s">
        <v>82</v>
      </c>
      <c r="B32" s="80" t="s">
        <v>46</v>
      </c>
      <c r="C32" s="81" t="s">
        <v>47</v>
      </c>
      <c r="D32" s="82" t="s">
        <v>22</v>
      </c>
      <c r="E32" s="84">
        <v>1</v>
      </c>
      <c r="F32" s="83">
        <v>3600</v>
      </c>
      <c r="G32" s="85">
        <f t="shared" ref="G32:G35" si="4">SUM(E32*F32)</f>
        <v>3600</v>
      </c>
      <c r="H32" s="1"/>
      <c r="I32" s="1"/>
      <c r="J32" s="1"/>
      <c r="K32" s="132"/>
      <c r="L32" s="132"/>
      <c r="M32" s="132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s="5" customFormat="1" ht="34.5" customHeight="1">
      <c r="A33" s="86" t="s">
        <v>83</v>
      </c>
      <c r="B33" s="87" t="s">
        <v>136</v>
      </c>
      <c r="C33" s="88" t="s">
        <v>137</v>
      </c>
      <c r="D33" s="89" t="s">
        <v>22</v>
      </c>
      <c r="E33" s="77">
        <v>6.5</v>
      </c>
      <c r="F33" s="90">
        <v>2800</v>
      </c>
      <c r="G33" s="78">
        <f t="shared" si="4"/>
        <v>18200</v>
      </c>
      <c r="H33" s="1"/>
      <c r="I33" s="1"/>
      <c r="J33" s="1"/>
      <c r="K33" s="132"/>
      <c r="L33" s="132"/>
      <c r="M33" s="132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s="5" customFormat="1" ht="25" customHeight="1">
      <c r="A34" s="91" t="s">
        <v>133</v>
      </c>
      <c r="B34" s="72" t="s">
        <v>48</v>
      </c>
      <c r="C34" s="73" t="s">
        <v>150</v>
      </c>
      <c r="D34" s="74" t="s">
        <v>22</v>
      </c>
      <c r="E34" s="75">
        <v>1</v>
      </c>
      <c r="F34" s="90">
        <v>10900</v>
      </c>
      <c r="G34" s="78">
        <f t="shared" si="4"/>
        <v>10900</v>
      </c>
      <c r="H34" s="1"/>
      <c r="I34" s="1"/>
      <c r="J34" s="1"/>
      <c r="K34" s="132"/>
      <c r="L34" s="132"/>
      <c r="M34" s="132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s="5" customFormat="1" ht="25" customHeight="1">
      <c r="A35" s="48" t="s">
        <v>134</v>
      </c>
      <c r="B35" s="21" t="s">
        <v>49</v>
      </c>
      <c r="C35" s="20" t="s">
        <v>50</v>
      </c>
      <c r="D35" s="45" t="s">
        <v>17</v>
      </c>
      <c r="E35" s="64">
        <v>180</v>
      </c>
      <c r="F35" s="69">
        <v>150</v>
      </c>
      <c r="G35" s="70">
        <f t="shared" si="4"/>
        <v>27000</v>
      </c>
      <c r="H35" s="1"/>
      <c r="I35" s="1"/>
      <c r="J35" s="1"/>
      <c r="K35" s="132"/>
      <c r="L35" s="132"/>
      <c r="M35" s="132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s="5" customFormat="1" ht="25" customHeight="1" thickBot="1">
      <c r="A36" s="49" t="s">
        <v>135</v>
      </c>
      <c r="B36" s="30" t="s">
        <v>51</v>
      </c>
      <c r="C36" s="31" t="s">
        <v>52</v>
      </c>
      <c r="D36" s="44" t="s">
        <v>22</v>
      </c>
      <c r="E36" s="58">
        <v>2</v>
      </c>
      <c r="F36" s="59">
        <v>850</v>
      </c>
      <c r="G36" s="61">
        <f>SUM(E36*F36)</f>
        <v>1700</v>
      </c>
      <c r="H36" s="1"/>
      <c r="I36" s="1"/>
      <c r="J36" s="1"/>
      <c r="K36" s="132"/>
      <c r="L36" s="132"/>
      <c r="M36" s="132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s="5" customFormat="1" ht="25" customHeight="1" thickTop="1" thickBot="1">
      <c r="A37" s="206" t="s">
        <v>92</v>
      </c>
      <c r="B37" s="201"/>
      <c r="C37" s="33"/>
      <c r="D37" s="34"/>
      <c r="E37" s="35"/>
      <c r="F37" s="36"/>
      <c r="G37" s="37"/>
      <c r="H37" s="1"/>
      <c r="I37" s="1"/>
      <c r="J37" s="1"/>
      <c r="K37" s="132"/>
      <c r="L37" s="132"/>
      <c r="M37" s="132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s="5" customFormat="1" ht="25" customHeight="1" thickTop="1">
      <c r="A38" s="26" t="s">
        <v>84</v>
      </c>
      <c r="B38" s="32" t="s">
        <v>53</v>
      </c>
      <c r="C38" s="28" t="s">
        <v>54</v>
      </c>
      <c r="D38" s="43" t="s">
        <v>22</v>
      </c>
      <c r="E38" s="56">
        <v>1</v>
      </c>
      <c r="F38" s="62">
        <v>1300</v>
      </c>
      <c r="G38" s="63">
        <f t="shared" ref="G38:G44" si="5">SUM(E38*F38)</f>
        <v>1300</v>
      </c>
      <c r="H38" s="1"/>
      <c r="I38" s="1"/>
      <c r="J38" s="1"/>
      <c r="K38" s="132"/>
      <c r="L38" s="132"/>
      <c r="M38" s="132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s="5" customFormat="1" ht="25" customHeight="1">
      <c r="A39" s="25" t="s">
        <v>85</v>
      </c>
      <c r="B39" s="21" t="s">
        <v>55</v>
      </c>
      <c r="C39" s="20" t="s">
        <v>56</v>
      </c>
      <c r="D39" s="45" t="s">
        <v>22</v>
      </c>
      <c r="E39" s="64">
        <v>1</v>
      </c>
      <c r="F39" s="65">
        <v>4800</v>
      </c>
      <c r="G39" s="66">
        <f t="shared" si="5"/>
        <v>4800</v>
      </c>
      <c r="H39" s="1"/>
      <c r="I39" s="1"/>
      <c r="J39" s="1"/>
      <c r="K39" s="132"/>
      <c r="L39" s="132"/>
      <c r="M39" s="132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s="5" customFormat="1" ht="25" customHeight="1">
      <c r="A40" s="25" t="s">
        <v>94</v>
      </c>
      <c r="B40" s="21" t="s">
        <v>57</v>
      </c>
      <c r="C40" s="20" t="s">
        <v>58</v>
      </c>
      <c r="D40" s="45" t="s">
        <v>22</v>
      </c>
      <c r="E40" s="64">
        <v>3</v>
      </c>
      <c r="F40" s="65">
        <v>1900</v>
      </c>
      <c r="G40" s="66">
        <f t="shared" si="5"/>
        <v>5700</v>
      </c>
      <c r="H40" s="1"/>
      <c r="I40" s="1"/>
      <c r="J40" s="1"/>
      <c r="K40" s="132"/>
      <c r="L40" s="132"/>
      <c r="M40" s="132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s="5" customFormat="1" ht="25" customHeight="1">
      <c r="A41" s="25" t="s">
        <v>95</v>
      </c>
      <c r="B41" s="21" t="s">
        <v>48</v>
      </c>
      <c r="C41" s="20" t="s">
        <v>59</v>
      </c>
      <c r="D41" s="45" t="s">
        <v>22</v>
      </c>
      <c r="E41" s="64">
        <v>1</v>
      </c>
      <c r="F41" s="65">
        <v>9540</v>
      </c>
      <c r="G41" s="66">
        <f t="shared" si="5"/>
        <v>9540</v>
      </c>
      <c r="H41" s="1"/>
      <c r="I41" s="1"/>
      <c r="J41" s="1"/>
      <c r="K41" s="132"/>
      <c r="L41" s="132"/>
      <c r="M41" s="132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25" customHeight="1">
      <c r="A42" s="25" t="s">
        <v>96</v>
      </c>
      <c r="B42" s="21" t="s">
        <v>49</v>
      </c>
      <c r="C42" s="20" t="s">
        <v>60</v>
      </c>
      <c r="D42" s="45" t="s">
        <v>17</v>
      </c>
      <c r="E42" s="64">
        <v>278</v>
      </c>
      <c r="F42" s="65">
        <v>150</v>
      </c>
      <c r="G42" s="66">
        <f t="shared" si="5"/>
        <v>41700</v>
      </c>
    </row>
    <row r="43" spans="1:28" ht="94.5" customHeight="1">
      <c r="A43" s="25" t="s">
        <v>97</v>
      </c>
      <c r="B43" s="20" t="s">
        <v>121</v>
      </c>
      <c r="C43" s="20" t="s">
        <v>122</v>
      </c>
      <c r="D43" s="45" t="s">
        <v>22</v>
      </c>
      <c r="E43" s="64">
        <v>1</v>
      </c>
      <c r="F43" s="65">
        <v>17500</v>
      </c>
      <c r="G43" s="66">
        <f t="shared" si="5"/>
        <v>17500</v>
      </c>
    </row>
    <row r="44" spans="1:28" ht="25" customHeight="1" thickBot="1">
      <c r="A44" s="29" t="s">
        <v>98</v>
      </c>
      <c r="B44" s="46" t="s">
        <v>61</v>
      </c>
      <c r="C44" s="31" t="s">
        <v>62</v>
      </c>
      <c r="D44" s="44" t="s">
        <v>22</v>
      </c>
      <c r="E44" s="58">
        <v>22</v>
      </c>
      <c r="F44" s="67">
        <v>260</v>
      </c>
      <c r="G44" s="68">
        <f t="shared" si="5"/>
        <v>5720</v>
      </c>
    </row>
    <row r="45" spans="1:28" ht="25" customHeight="1" thickTop="1" thickBot="1">
      <c r="A45" s="200" t="s">
        <v>93</v>
      </c>
      <c r="B45" s="201"/>
      <c r="C45" s="202"/>
      <c r="D45" s="202"/>
      <c r="E45" s="202"/>
      <c r="F45" s="202"/>
      <c r="G45" s="203"/>
      <c r="K45" s="174" t="s">
        <v>191</v>
      </c>
    </row>
    <row r="46" spans="1:28" ht="91" customHeight="1" thickTop="1">
      <c r="A46" s="114" t="s">
        <v>86</v>
      </c>
      <c r="B46" s="115" t="s">
        <v>63</v>
      </c>
      <c r="C46" s="116" t="s">
        <v>108</v>
      </c>
      <c r="D46" s="117" t="s">
        <v>22</v>
      </c>
      <c r="E46" s="118">
        <v>6</v>
      </c>
      <c r="F46" s="119">
        <v>19500</v>
      </c>
      <c r="G46" s="120">
        <f t="shared" ref="G46:G47" si="6">SUM(E46*F46)</f>
        <v>117000</v>
      </c>
      <c r="H46" s="175" t="s">
        <v>192</v>
      </c>
      <c r="K46" s="114" t="s">
        <v>86</v>
      </c>
      <c r="L46" s="115" t="s">
        <v>196</v>
      </c>
      <c r="M46" s="177" t="s">
        <v>193</v>
      </c>
      <c r="N46" s="117" t="s">
        <v>22</v>
      </c>
      <c r="O46" s="118">
        <v>6</v>
      </c>
      <c r="P46" s="119">
        <f>19500+8638</f>
        <v>28138</v>
      </c>
      <c r="Q46" s="120">
        <f>SUM(O46*P46)</f>
        <v>168828</v>
      </c>
    </row>
    <row r="47" spans="1:28" ht="101" customHeight="1" thickBot="1">
      <c r="A47" s="121" t="s">
        <v>87</v>
      </c>
      <c r="B47" s="122" t="s">
        <v>64</v>
      </c>
      <c r="C47" s="123" t="s">
        <v>130</v>
      </c>
      <c r="D47" s="124" t="s">
        <v>22</v>
      </c>
      <c r="E47" s="125">
        <v>4</v>
      </c>
      <c r="F47" s="112">
        <v>37000</v>
      </c>
      <c r="G47" s="113">
        <f t="shared" si="6"/>
        <v>148000</v>
      </c>
      <c r="H47" s="175" t="s">
        <v>190</v>
      </c>
      <c r="K47" s="121" t="s">
        <v>87</v>
      </c>
      <c r="L47" s="122" t="s">
        <v>197</v>
      </c>
      <c r="M47" s="178" t="s">
        <v>194</v>
      </c>
      <c r="N47" s="124" t="s">
        <v>22</v>
      </c>
      <c r="O47" s="125">
        <v>4</v>
      </c>
      <c r="P47" s="112">
        <f>37000+8638*2</f>
        <v>54276</v>
      </c>
      <c r="Q47" s="113">
        <f t="shared" ref="Q47" si="7">SUM(O47*P47)</f>
        <v>217104</v>
      </c>
    </row>
    <row r="48" spans="1:28" ht="25" customHeight="1" thickTop="1" thickBot="1">
      <c r="A48" s="207" t="s">
        <v>118</v>
      </c>
      <c r="B48" s="208"/>
      <c r="C48" s="209"/>
      <c r="D48" s="209"/>
      <c r="E48" s="209"/>
      <c r="F48" s="209"/>
      <c r="G48" s="210"/>
      <c r="M48" s="179"/>
    </row>
    <row r="49" spans="1:17" ht="36.75" customHeight="1" thickTop="1">
      <c r="A49" s="26" t="s">
        <v>99</v>
      </c>
      <c r="B49" s="28" t="s">
        <v>131</v>
      </c>
      <c r="C49" s="28" t="s">
        <v>132</v>
      </c>
      <c r="D49" s="43" t="s">
        <v>22</v>
      </c>
      <c r="E49" s="56">
        <v>1</v>
      </c>
      <c r="F49" s="57">
        <v>12000</v>
      </c>
      <c r="G49" s="52">
        <f>E49*F49</f>
        <v>12000</v>
      </c>
      <c r="K49" s="167" t="s">
        <v>195</v>
      </c>
      <c r="M49" s="179"/>
    </row>
    <row r="50" spans="1:17" ht="104.25" customHeight="1" thickBot="1">
      <c r="A50" s="126" t="s">
        <v>100</v>
      </c>
      <c r="B50" s="123" t="s">
        <v>119</v>
      </c>
      <c r="C50" s="123" t="s">
        <v>120</v>
      </c>
      <c r="D50" s="124" t="s">
        <v>14</v>
      </c>
      <c r="E50" s="125">
        <v>4</v>
      </c>
      <c r="F50" s="127">
        <v>12500</v>
      </c>
      <c r="G50" s="128">
        <f>E50*F50</f>
        <v>50000</v>
      </c>
      <c r="I50" s="47" t="s">
        <v>198</v>
      </c>
      <c r="K50" s="126" t="s">
        <v>100</v>
      </c>
      <c r="L50" s="123" t="s">
        <v>119</v>
      </c>
      <c r="M50" s="178" t="s">
        <v>120</v>
      </c>
      <c r="N50" s="124" t="s">
        <v>14</v>
      </c>
      <c r="O50" s="125">
        <v>4</v>
      </c>
      <c r="P50" s="127">
        <v>12500</v>
      </c>
      <c r="Q50" s="128">
        <f>O50*P50</f>
        <v>50000</v>
      </c>
    </row>
    <row r="51" spans="1:17" ht="25" thickTop="1" thickBot="1">
      <c r="A51" s="204" t="s">
        <v>102</v>
      </c>
      <c r="B51" s="205"/>
      <c r="C51" s="202"/>
      <c r="D51" s="202"/>
      <c r="E51" s="202"/>
      <c r="F51" s="202"/>
      <c r="G51" s="203"/>
      <c r="K51" s="158"/>
    </row>
    <row r="52" spans="1:17" ht="23" thickTop="1">
      <c r="A52" s="26" t="s">
        <v>103</v>
      </c>
      <c r="B52" s="38" t="s">
        <v>142</v>
      </c>
      <c r="C52" s="39" t="s">
        <v>143</v>
      </c>
      <c r="D52" s="41" t="s">
        <v>116</v>
      </c>
      <c r="E52" s="50">
        <v>1</v>
      </c>
      <c r="F52" s="51">
        <v>100000</v>
      </c>
      <c r="G52" s="52">
        <f>F52*E52</f>
        <v>100000</v>
      </c>
      <c r="K52" s="158"/>
    </row>
    <row r="53" spans="1:17" ht="22">
      <c r="A53" s="40" t="s">
        <v>104</v>
      </c>
      <c r="B53" s="6" t="s">
        <v>88</v>
      </c>
      <c r="C53" s="22" t="s">
        <v>123</v>
      </c>
      <c r="D53" s="42" t="s">
        <v>91</v>
      </c>
      <c r="E53" s="53">
        <v>1</v>
      </c>
      <c r="F53" s="54">
        <v>150000</v>
      </c>
      <c r="G53" s="55">
        <f>SUM(E53*F53)</f>
        <v>150000</v>
      </c>
    </row>
    <row r="54" spans="1:17" ht="22">
      <c r="A54" s="40" t="s">
        <v>105</v>
      </c>
      <c r="B54" s="6" t="s">
        <v>89</v>
      </c>
      <c r="C54" s="22" t="s">
        <v>109</v>
      </c>
      <c r="D54" s="42" t="s">
        <v>91</v>
      </c>
      <c r="E54" s="53">
        <v>1</v>
      </c>
      <c r="F54" s="54">
        <v>270000</v>
      </c>
      <c r="G54" s="55">
        <f>SUM(E54*F54)</f>
        <v>270000</v>
      </c>
    </row>
    <row r="55" spans="1:17" ht="22">
      <c r="A55" s="40" t="s">
        <v>106</v>
      </c>
      <c r="B55" s="6" t="s">
        <v>110</v>
      </c>
      <c r="C55" s="22" t="s">
        <v>112</v>
      </c>
      <c r="D55" s="42" t="s">
        <v>91</v>
      </c>
      <c r="E55" s="53">
        <v>1</v>
      </c>
      <c r="F55" s="54">
        <v>16000</v>
      </c>
      <c r="G55" s="55">
        <f>SUM(E55*F55)</f>
        <v>16000</v>
      </c>
      <c r="I55" s="130">
        <f>G55/20</f>
        <v>800</v>
      </c>
      <c r="J55" s="130"/>
    </row>
    <row r="56" spans="1:17" ht="22">
      <c r="A56" s="40" t="s">
        <v>111</v>
      </c>
      <c r="B56" s="6" t="s">
        <v>114</v>
      </c>
      <c r="C56" s="22" t="s">
        <v>115</v>
      </c>
      <c r="D56" s="42" t="s">
        <v>14</v>
      </c>
      <c r="E56" s="53">
        <v>70</v>
      </c>
      <c r="F56" s="54">
        <v>900</v>
      </c>
      <c r="G56" s="55">
        <f t="shared" ref="G56:G58" si="8">SUM(E56*F56)</f>
        <v>63000</v>
      </c>
      <c r="I56" s="130">
        <f t="shared" ref="I56" si="9">G56/20</f>
        <v>3150</v>
      </c>
      <c r="J56" s="130"/>
    </row>
    <row r="57" spans="1:17" ht="110">
      <c r="A57" s="40" t="s">
        <v>113</v>
      </c>
      <c r="B57" s="6" t="s">
        <v>90</v>
      </c>
      <c r="C57" s="22" t="s">
        <v>117</v>
      </c>
      <c r="D57" s="42" t="s">
        <v>14</v>
      </c>
      <c r="E57" s="53">
        <v>1</v>
      </c>
      <c r="F57" s="54">
        <v>5219</v>
      </c>
      <c r="G57" s="55">
        <f t="shared" si="8"/>
        <v>5219</v>
      </c>
    </row>
    <row r="58" spans="1:17" ht="23" thickBot="1">
      <c r="A58" s="92" t="s">
        <v>145</v>
      </c>
      <c r="B58" s="93" t="s">
        <v>141</v>
      </c>
      <c r="C58" s="94" t="s">
        <v>144</v>
      </c>
      <c r="D58" s="95" t="s">
        <v>14</v>
      </c>
      <c r="E58" s="96">
        <v>1</v>
      </c>
      <c r="F58" s="97">
        <v>100000</v>
      </c>
      <c r="G58" s="98">
        <f t="shared" si="8"/>
        <v>100000</v>
      </c>
      <c r="K58" s="168"/>
    </row>
    <row r="59" spans="1:17" ht="27" thickTop="1">
      <c r="A59" s="5"/>
      <c r="B59" s="5"/>
      <c r="E59" s="7" t="s">
        <v>9</v>
      </c>
      <c r="F59" s="199">
        <f>SUM(G15:G53,G55,G57,G58)</f>
        <v>1234359</v>
      </c>
      <c r="G59" s="199"/>
      <c r="I59" s="173">
        <f>SUM(I15:I58)</f>
        <v>8637.5</v>
      </c>
      <c r="J59" s="136"/>
      <c r="P59" s="7" t="s">
        <v>9</v>
      </c>
      <c r="Q59" s="136">
        <f>SUM(Q30,Q46:Q47,Q50)</f>
        <v>442932</v>
      </c>
    </row>
    <row r="60" spans="1:17" ht="22">
      <c r="E60" s="7" t="s">
        <v>10</v>
      </c>
      <c r="F60" s="199">
        <f>F59*0.05</f>
        <v>61717.950000000004</v>
      </c>
      <c r="G60" s="199"/>
      <c r="P60" s="7" t="s">
        <v>10</v>
      </c>
      <c r="Q60" s="135">
        <f>Q59*0.05</f>
        <v>22146.600000000002</v>
      </c>
    </row>
    <row r="61" spans="1:17" ht="23" thickBot="1">
      <c r="E61" s="8" t="s">
        <v>11</v>
      </c>
      <c r="F61" s="191">
        <f>SUM(F59:G60,G54,G56)</f>
        <v>1629076.95</v>
      </c>
      <c r="G61" s="191"/>
      <c r="P61" s="8" t="s">
        <v>11</v>
      </c>
      <c r="Q61" s="136">
        <f>SUM(Q59:Q60)</f>
        <v>465078.6</v>
      </c>
    </row>
    <row r="62" spans="1:17" ht="17" thickTop="1"/>
    <row r="63" spans="1:17" ht="17" thickBot="1"/>
    <row r="64" spans="1:17" ht="25" thickTop="1" thickBot="1">
      <c r="D64" s="192" t="s">
        <v>12</v>
      </c>
      <c r="E64" s="193"/>
      <c r="F64" s="193"/>
      <c r="G64" s="194"/>
    </row>
    <row r="65" spans="1:7" ht="19" thickTop="1">
      <c r="A65" s="47" t="s">
        <v>128</v>
      </c>
      <c r="B65" s="47"/>
      <c r="C65" s="47"/>
      <c r="D65" s="9"/>
      <c r="G65" s="10"/>
    </row>
    <row r="66" spans="1:7" ht="18">
      <c r="A66" s="47" t="s">
        <v>124</v>
      </c>
      <c r="B66" s="47"/>
      <c r="C66" s="47"/>
      <c r="D66" s="9"/>
      <c r="G66" s="10"/>
    </row>
    <row r="67" spans="1:7" ht="18">
      <c r="A67" s="47" t="s">
        <v>125</v>
      </c>
      <c r="B67" s="47"/>
      <c r="C67" s="47"/>
      <c r="D67" s="9"/>
      <c r="G67" s="10"/>
    </row>
    <row r="68" spans="1:7" ht="18">
      <c r="A68" s="47" t="s">
        <v>126</v>
      </c>
      <c r="B68" s="47"/>
      <c r="C68" s="47"/>
      <c r="D68" s="9"/>
      <c r="G68" s="10"/>
    </row>
    <row r="69" spans="1:7" ht="18">
      <c r="A69" s="47" t="s">
        <v>127</v>
      </c>
      <c r="B69" s="47"/>
      <c r="C69" s="47"/>
      <c r="D69" s="9"/>
      <c r="G69" s="10"/>
    </row>
    <row r="70" spans="1:7" ht="24" thickBot="1">
      <c r="A70" s="47" t="s">
        <v>129</v>
      </c>
      <c r="B70" s="47"/>
      <c r="C70" s="47"/>
      <c r="D70" s="11" t="s">
        <v>13</v>
      </c>
      <c r="E70" s="12"/>
      <c r="F70" s="13"/>
      <c r="G70" s="14"/>
    </row>
    <row r="71" spans="1:7" ht="17" thickTop="1"/>
  </sheetData>
  <mergeCells count="12">
    <mergeCell ref="D64:G64"/>
    <mergeCell ref="A7:G7"/>
    <mergeCell ref="A9:G9"/>
    <mergeCell ref="A14:G14"/>
    <mergeCell ref="A31:G31"/>
    <mergeCell ref="A37:B37"/>
    <mergeCell ref="A45:G45"/>
    <mergeCell ref="A48:G48"/>
    <mergeCell ref="A51:G51"/>
    <mergeCell ref="F59:G59"/>
    <mergeCell ref="F60:G60"/>
    <mergeCell ref="F61:G61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39" fitToWidth="0" orientation="portrait" r:id="rId1"/>
  <rowBreaks count="1" manualBreakCount="1">
    <brk id="44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B606E-B603-4BBE-8E47-43A913943106}">
  <sheetPr>
    <tabColor theme="8" tint="-0.249977111117893"/>
  </sheetPr>
  <dimension ref="A1"/>
  <sheetViews>
    <sheetView workbookViewId="0"/>
  </sheetViews>
  <sheetFormatPr baseColWidth="10" defaultColWidth="8.83203125" defaultRowHeight="15"/>
  <sheetData/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939AF-9D44-4A60-BF1F-8FCC3EAFA413}">
  <sheetPr>
    <tabColor theme="5" tint="-0.249977111117893"/>
    <pageSetUpPr fitToPage="1"/>
  </sheetPr>
  <dimension ref="A7:Z72"/>
  <sheetViews>
    <sheetView topLeftCell="A26" zoomScale="87" zoomScaleNormal="87" workbookViewId="0">
      <selection activeCell="C39" sqref="C39"/>
    </sheetView>
  </sheetViews>
  <sheetFormatPr baseColWidth="10" defaultColWidth="9" defaultRowHeight="16"/>
  <cols>
    <col min="1" max="1" width="10.83203125" style="1" customWidth="1"/>
    <col min="2" max="2" width="24.1640625" style="1" customWidth="1"/>
    <col min="3" max="3" width="46.1640625" style="1" customWidth="1"/>
    <col min="4" max="4" width="9.83203125" style="1" customWidth="1"/>
    <col min="5" max="5" width="9.33203125" style="4" customWidth="1"/>
    <col min="6" max="6" width="9.5" style="1" customWidth="1"/>
    <col min="7" max="7" width="12" style="1" customWidth="1"/>
    <col min="8" max="8" width="19.33203125" style="1" customWidth="1"/>
    <col min="9" max="11" width="9.6640625" style="132" customWidth="1"/>
    <col min="12" max="12" width="9" style="1"/>
    <col min="13" max="13" width="25.33203125" style="1" customWidth="1"/>
    <col min="14" max="17" width="9" style="1"/>
    <col min="18" max="18" width="23" style="1" customWidth="1"/>
    <col min="19" max="19" width="13.6640625" style="1" customWidth="1"/>
    <col min="20" max="16384" width="9" style="1"/>
  </cols>
  <sheetData>
    <row r="7" spans="1:26" ht="26">
      <c r="A7" s="186" t="s">
        <v>0</v>
      </c>
      <c r="B7" s="186"/>
      <c r="C7" s="186"/>
      <c r="D7" s="186"/>
      <c r="E7" s="187"/>
      <c r="F7" s="187"/>
      <c r="G7" s="187"/>
    </row>
    <row r="9" spans="1:26" ht="27" thickBot="1">
      <c r="A9" s="188" t="s">
        <v>1</v>
      </c>
      <c r="B9" s="189"/>
      <c r="C9" s="189"/>
      <c r="D9" s="189"/>
      <c r="E9" s="189"/>
      <c r="F9" s="190"/>
      <c r="G9" s="190"/>
    </row>
    <row r="10" spans="1:26" ht="17" thickTop="1">
      <c r="A10" s="2"/>
      <c r="E10" s="3"/>
      <c r="F10" s="2"/>
      <c r="G10" s="2"/>
    </row>
    <row r="11" spans="1:26" ht="21">
      <c r="A11" s="19" t="s">
        <v>101</v>
      </c>
      <c r="E11" s="24"/>
      <c r="F11" s="23" t="str">
        <f ca="1">"日期 : " &amp; TEXT(TODAY(), "yyyy年mm月dd日")</f>
        <v>日期 : 2025年12月18日</v>
      </c>
      <c r="L11" s="47" t="s">
        <v>187</v>
      </c>
    </row>
    <row r="12" spans="1:26" ht="17" thickBot="1"/>
    <row r="13" spans="1:26" ht="24" thickTop="1" thickBot="1">
      <c r="A13" s="15" t="s">
        <v>2</v>
      </c>
      <c r="B13" s="16" t="s">
        <v>3</v>
      </c>
      <c r="C13" s="16" t="s">
        <v>4</v>
      </c>
      <c r="D13" s="16" t="s">
        <v>5</v>
      </c>
      <c r="E13" s="16" t="s">
        <v>6</v>
      </c>
      <c r="F13" s="17" t="s">
        <v>7</v>
      </c>
      <c r="G13" s="18" t="s">
        <v>8</v>
      </c>
      <c r="L13" s="216" t="s">
        <v>172</v>
      </c>
      <c r="M13" s="217"/>
      <c r="N13" s="211" t="s">
        <v>173</v>
      </c>
      <c r="O13" s="211" t="s">
        <v>174</v>
      </c>
      <c r="P13" s="211" t="s">
        <v>175</v>
      </c>
      <c r="Q13" s="211" t="s">
        <v>176</v>
      </c>
      <c r="R13" s="146" t="s">
        <v>177</v>
      </c>
    </row>
    <row r="14" spans="1:26" ht="24" thickTop="1" thickBot="1">
      <c r="A14" s="195" t="s">
        <v>65</v>
      </c>
      <c r="B14" s="196"/>
      <c r="C14" s="197"/>
      <c r="D14" s="197"/>
      <c r="E14" s="197"/>
      <c r="F14" s="197"/>
      <c r="G14" s="198"/>
      <c r="H14" s="140" t="s">
        <v>162</v>
      </c>
      <c r="I14" s="133" t="s">
        <v>182</v>
      </c>
      <c r="J14" s="133"/>
      <c r="K14" s="133"/>
      <c r="L14" s="218"/>
      <c r="M14" s="219"/>
      <c r="N14" s="212"/>
      <c r="O14" s="212"/>
      <c r="P14" s="212"/>
      <c r="Q14" s="212"/>
      <c r="R14" s="147" t="s">
        <v>178</v>
      </c>
    </row>
    <row r="15" spans="1:26" s="5" customFormat="1" ht="23" thickTop="1" thickBot="1">
      <c r="A15" s="26" t="s">
        <v>66</v>
      </c>
      <c r="B15" s="27" t="s">
        <v>15</v>
      </c>
      <c r="C15" s="28" t="s">
        <v>16</v>
      </c>
      <c r="D15" s="43" t="s">
        <v>17</v>
      </c>
      <c r="E15" s="56">
        <v>2400</v>
      </c>
      <c r="F15" s="57">
        <v>18</v>
      </c>
      <c r="G15" s="60">
        <f t="shared" ref="G15:G30" si="0">SUM(E15*F15)</f>
        <v>43200</v>
      </c>
      <c r="H15" s="138">
        <f>G15/20*6</f>
        <v>12960</v>
      </c>
      <c r="I15" s="158" t="s">
        <v>181</v>
      </c>
      <c r="J15" s="134"/>
      <c r="K15" s="134"/>
      <c r="L15" s="145" t="s">
        <v>163</v>
      </c>
      <c r="M15" s="156" t="s">
        <v>179</v>
      </c>
      <c r="N15" s="148"/>
      <c r="O15" s="142"/>
      <c r="P15" s="150"/>
      <c r="Q15" s="149"/>
      <c r="R15" s="151">
        <v>30000</v>
      </c>
      <c r="S15" s="1"/>
      <c r="T15" s="1"/>
      <c r="U15" s="1"/>
      <c r="V15" s="1"/>
      <c r="W15" s="1"/>
      <c r="X15" s="1"/>
      <c r="Y15" s="1"/>
      <c r="Z15" s="1"/>
    </row>
    <row r="16" spans="1:26" s="5" customFormat="1" ht="22" thickBot="1">
      <c r="A16" s="25" t="s">
        <v>67</v>
      </c>
      <c r="B16" s="21" t="s">
        <v>18</v>
      </c>
      <c r="C16" s="20" t="s">
        <v>19</v>
      </c>
      <c r="D16" s="45" t="s">
        <v>20</v>
      </c>
      <c r="E16" s="64">
        <v>13</v>
      </c>
      <c r="F16" s="69">
        <v>950</v>
      </c>
      <c r="G16" s="70">
        <f t="shared" si="0"/>
        <v>12350</v>
      </c>
      <c r="H16" s="138">
        <f t="shared" ref="H16:H18" si="1">G16/20*6</f>
        <v>3705</v>
      </c>
      <c r="I16" s="158" t="s">
        <v>181</v>
      </c>
      <c r="J16" s="134"/>
      <c r="K16" s="134"/>
      <c r="L16" s="213" t="s">
        <v>164</v>
      </c>
      <c r="M16" s="141" t="s">
        <v>165</v>
      </c>
      <c r="N16" s="148"/>
      <c r="O16" s="150"/>
      <c r="P16" s="150"/>
      <c r="Q16" s="152"/>
      <c r="R16" s="170" t="s">
        <v>188</v>
      </c>
      <c r="S16" s="1"/>
      <c r="T16" s="1"/>
      <c r="U16" s="1"/>
      <c r="V16" s="1"/>
      <c r="W16" s="1"/>
      <c r="X16" s="1"/>
      <c r="Y16" s="1"/>
      <c r="Z16" s="1"/>
    </row>
    <row r="17" spans="1:26" s="5" customFormat="1" ht="22" thickBot="1">
      <c r="A17" s="25" t="s">
        <v>68</v>
      </c>
      <c r="B17" s="21" t="s">
        <v>157</v>
      </c>
      <c r="C17" s="20" t="s">
        <v>21</v>
      </c>
      <c r="D17" s="45" t="s">
        <v>22</v>
      </c>
      <c r="E17" s="64">
        <v>1</v>
      </c>
      <c r="F17" s="69">
        <v>3600</v>
      </c>
      <c r="G17" s="70">
        <f t="shared" si="0"/>
        <v>3600</v>
      </c>
      <c r="H17" s="138">
        <f t="shared" si="1"/>
        <v>1080</v>
      </c>
      <c r="I17" s="158" t="s">
        <v>181</v>
      </c>
      <c r="J17" s="134"/>
      <c r="K17" s="134"/>
      <c r="L17" s="214"/>
      <c r="M17" s="141" t="s">
        <v>166</v>
      </c>
      <c r="N17" s="148"/>
      <c r="O17" s="150"/>
      <c r="P17" s="150"/>
      <c r="Q17" s="149"/>
      <c r="R17" s="142" t="s">
        <v>180</v>
      </c>
      <c r="S17" s="1"/>
      <c r="T17" s="1"/>
      <c r="U17" s="1"/>
      <c r="V17" s="1"/>
      <c r="W17" s="1"/>
      <c r="X17" s="1"/>
      <c r="Y17" s="1"/>
      <c r="Z17" s="1"/>
    </row>
    <row r="18" spans="1:26" s="5" customFormat="1" ht="22" thickBot="1">
      <c r="A18" s="71" t="s">
        <v>69</v>
      </c>
      <c r="B18" s="72" t="s">
        <v>23</v>
      </c>
      <c r="C18" s="73" t="s">
        <v>24</v>
      </c>
      <c r="D18" s="74" t="s">
        <v>20</v>
      </c>
      <c r="E18" s="105">
        <v>6</v>
      </c>
      <c r="F18" s="76">
        <v>2300</v>
      </c>
      <c r="G18" s="78">
        <f t="shared" si="0"/>
        <v>13800</v>
      </c>
      <c r="H18" s="138">
        <f t="shared" si="1"/>
        <v>4140</v>
      </c>
      <c r="I18" s="158" t="s">
        <v>181</v>
      </c>
      <c r="J18" s="134"/>
      <c r="K18" s="134"/>
      <c r="L18" s="214"/>
      <c r="M18" s="141" t="s">
        <v>167</v>
      </c>
      <c r="N18" s="148"/>
      <c r="O18" s="150"/>
      <c r="P18" s="150"/>
      <c r="Q18" s="149"/>
      <c r="R18" s="142" t="s">
        <v>180</v>
      </c>
      <c r="S18" s="1"/>
      <c r="T18" s="1"/>
      <c r="U18" s="1"/>
      <c r="V18" s="1"/>
      <c r="W18" s="1"/>
      <c r="X18" s="1"/>
      <c r="Y18" s="1"/>
      <c r="Z18" s="1"/>
    </row>
    <row r="19" spans="1:26" s="5" customFormat="1" ht="22" thickBot="1">
      <c r="A19" s="25" t="s">
        <v>70</v>
      </c>
      <c r="B19" s="21" t="s">
        <v>25</v>
      </c>
      <c r="C19" s="20" t="s">
        <v>26</v>
      </c>
      <c r="D19" s="45" t="s">
        <v>22</v>
      </c>
      <c r="E19" s="64">
        <v>1</v>
      </c>
      <c r="F19" s="69">
        <v>7800</v>
      </c>
      <c r="G19" s="70">
        <f t="shared" si="0"/>
        <v>7800</v>
      </c>
      <c r="H19" s="139">
        <v>7800</v>
      </c>
      <c r="I19" s="132"/>
      <c r="J19" s="132"/>
      <c r="K19" s="132"/>
      <c r="L19" s="214"/>
      <c r="M19" s="141" t="s">
        <v>168</v>
      </c>
      <c r="N19" s="148"/>
      <c r="O19" s="153"/>
      <c r="P19" s="150"/>
      <c r="Q19" s="152"/>
      <c r="R19" s="151" t="s">
        <v>180</v>
      </c>
      <c r="S19" s="1"/>
      <c r="T19" s="1"/>
      <c r="U19" s="1"/>
      <c r="V19" s="1"/>
      <c r="W19" s="1"/>
      <c r="X19" s="1"/>
      <c r="Y19" s="1"/>
      <c r="Z19" s="1"/>
    </row>
    <row r="20" spans="1:26" s="5" customFormat="1" ht="22" thickBot="1">
      <c r="A20" s="25" t="s">
        <v>71</v>
      </c>
      <c r="B20" s="21" t="s">
        <v>27</v>
      </c>
      <c r="C20" s="20" t="s">
        <v>28</v>
      </c>
      <c r="D20" s="45" t="s">
        <v>20</v>
      </c>
      <c r="E20" s="64">
        <v>36</v>
      </c>
      <c r="F20" s="69">
        <v>1900</v>
      </c>
      <c r="G20" s="70">
        <f t="shared" si="0"/>
        <v>68400</v>
      </c>
      <c r="H20" s="139">
        <v>68400</v>
      </c>
      <c r="I20" s="132"/>
      <c r="J20" s="132"/>
      <c r="K20" s="132"/>
      <c r="L20" s="214"/>
      <c r="M20" s="141" t="s">
        <v>169</v>
      </c>
      <c r="N20" s="148"/>
      <c r="O20" s="150"/>
      <c r="P20" s="150"/>
      <c r="Q20" s="152"/>
      <c r="R20" s="151" t="s">
        <v>180</v>
      </c>
      <c r="S20" s="1"/>
      <c r="T20" s="1"/>
      <c r="U20" s="1"/>
      <c r="V20" s="1"/>
      <c r="W20" s="1"/>
      <c r="X20" s="1"/>
      <c r="Y20" s="1"/>
      <c r="Z20" s="1"/>
    </row>
    <row r="21" spans="1:26" s="5" customFormat="1" ht="22" thickBot="1">
      <c r="A21" s="25" t="s">
        <v>72</v>
      </c>
      <c r="B21" s="21" t="s">
        <v>29</v>
      </c>
      <c r="C21" s="20" t="s">
        <v>30</v>
      </c>
      <c r="D21" s="45" t="s">
        <v>22</v>
      </c>
      <c r="E21" s="64">
        <v>4</v>
      </c>
      <c r="F21" s="69">
        <v>5800</v>
      </c>
      <c r="G21" s="70">
        <f t="shared" si="0"/>
        <v>23200</v>
      </c>
      <c r="H21" s="139">
        <v>23200</v>
      </c>
      <c r="I21" s="132"/>
      <c r="J21" s="132"/>
      <c r="K21" s="132"/>
      <c r="L21" s="214"/>
      <c r="M21" s="141" t="s">
        <v>170</v>
      </c>
      <c r="N21" s="148"/>
      <c r="O21" s="150"/>
      <c r="P21" s="150"/>
      <c r="Q21" s="152"/>
      <c r="R21" s="183" t="s">
        <v>180</v>
      </c>
      <c r="S21" s="1"/>
      <c r="T21" s="1"/>
      <c r="U21" s="1"/>
      <c r="V21" s="1"/>
      <c r="W21" s="1"/>
      <c r="X21" s="1"/>
      <c r="Y21" s="1"/>
      <c r="Z21" s="1"/>
    </row>
    <row r="22" spans="1:26" s="5" customFormat="1" ht="22" thickBot="1">
      <c r="A22" s="25" t="s">
        <v>73</v>
      </c>
      <c r="B22" s="21" t="s">
        <v>31</v>
      </c>
      <c r="C22" s="20" t="s">
        <v>32</v>
      </c>
      <c r="D22" s="45" t="s">
        <v>22</v>
      </c>
      <c r="E22" s="64">
        <v>1</v>
      </c>
      <c r="F22" s="69">
        <v>30000</v>
      </c>
      <c r="G22" s="70">
        <f t="shared" si="0"/>
        <v>30000</v>
      </c>
      <c r="H22" s="139">
        <v>30000</v>
      </c>
      <c r="I22" s="132"/>
      <c r="J22" s="132"/>
      <c r="K22" s="132"/>
      <c r="L22" s="215"/>
      <c r="M22" s="141"/>
      <c r="N22" s="148"/>
      <c r="O22" s="150"/>
      <c r="P22" s="150"/>
      <c r="Q22" s="182"/>
      <c r="R22" s="184"/>
      <c r="S22" s="185">
        <v>1050000</v>
      </c>
      <c r="T22" s="1"/>
      <c r="U22" s="1"/>
      <c r="V22" s="1"/>
      <c r="W22" s="1"/>
      <c r="X22" s="1"/>
      <c r="Y22" s="1"/>
      <c r="Z22" s="1"/>
    </row>
    <row r="23" spans="1:26" s="5" customFormat="1" ht="22" thickBot="1">
      <c r="A23" s="25" t="s">
        <v>74</v>
      </c>
      <c r="B23" s="21" t="s">
        <v>33</v>
      </c>
      <c r="C23" s="20" t="s">
        <v>34</v>
      </c>
      <c r="D23" s="45" t="s">
        <v>17</v>
      </c>
      <c r="E23" s="64">
        <v>400</v>
      </c>
      <c r="F23" s="69">
        <v>150</v>
      </c>
      <c r="G23" s="70">
        <f t="shared" si="0"/>
        <v>60000</v>
      </c>
      <c r="H23" s="139">
        <v>60000</v>
      </c>
      <c r="I23" s="132"/>
      <c r="J23" s="132"/>
      <c r="K23" s="132"/>
      <c r="L23" s="143" t="s">
        <v>171</v>
      </c>
      <c r="M23" s="144" t="s">
        <v>171</v>
      </c>
      <c r="N23" s="154"/>
      <c r="O23" s="150"/>
      <c r="P23" s="150"/>
      <c r="Q23" s="155"/>
      <c r="R23" s="151">
        <v>70000</v>
      </c>
      <c r="S23" s="1"/>
      <c r="T23" s="1"/>
      <c r="U23" s="1"/>
      <c r="V23" s="1"/>
      <c r="W23" s="1"/>
      <c r="X23" s="1"/>
      <c r="Y23" s="1"/>
      <c r="Z23" s="1"/>
    </row>
    <row r="24" spans="1:26" s="5" customFormat="1" ht="21">
      <c r="A24" s="25" t="s">
        <v>75</v>
      </c>
      <c r="B24" s="21" t="s">
        <v>35</v>
      </c>
      <c r="C24" s="20" t="s">
        <v>36</v>
      </c>
      <c r="D24" s="45" t="s">
        <v>17</v>
      </c>
      <c r="E24" s="64">
        <v>390</v>
      </c>
      <c r="F24" s="69">
        <v>150</v>
      </c>
      <c r="G24" s="70">
        <f t="shared" si="0"/>
        <v>58500</v>
      </c>
      <c r="H24" s="139">
        <v>58500</v>
      </c>
      <c r="I24" s="132"/>
      <c r="J24" s="132"/>
      <c r="K24" s="132"/>
      <c r="L24" s="1"/>
      <c r="M24" s="1"/>
      <c r="N24" s="1"/>
      <c r="O24" s="1"/>
      <c r="P24" s="1"/>
      <c r="Q24" s="1"/>
      <c r="R24" s="169"/>
      <c r="S24" s="1"/>
      <c r="T24" s="1"/>
      <c r="U24" s="1"/>
      <c r="V24" s="1"/>
      <c r="W24" s="1"/>
      <c r="X24" s="1"/>
      <c r="Y24" s="1"/>
      <c r="Z24" s="1"/>
    </row>
    <row r="25" spans="1:26" s="5" customFormat="1" ht="21">
      <c r="A25" s="71" t="s">
        <v>76</v>
      </c>
      <c r="B25" s="72" t="s">
        <v>37</v>
      </c>
      <c r="C25" s="73" t="s">
        <v>38</v>
      </c>
      <c r="D25" s="74" t="s">
        <v>22</v>
      </c>
      <c r="E25" s="77">
        <v>27</v>
      </c>
      <c r="F25" s="76">
        <v>1450</v>
      </c>
      <c r="G25" s="78">
        <f t="shared" si="0"/>
        <v>39150</v>
      </c>
      <c r="H25" s="139">
        <v>39150</v>
      </c>
      <c r="I25" s="132"/>
      <c r="J25" s="132"/>
      <c r="K25" s="132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s="5" customFormat="1" ht="21">
      <c r="A26" s="25" t="s">
        <v>77</v>
      </c>
      <c r="B26" s="21" t="s">
        <v>39</v>
      </c>
      <c r="C26" s="20" t="s">
        <v>40</v>
      </c>
      <c r="D26" s="45" t="s">
        <v>22</v>
      </c>
      <c r="E26" s="64">
        <v>14</v>
      </c>
      <c r="F26" s="69">
        <v>750</v>
      </c>
      <c r="G26" s="70">
        <f t="shared" si="0"/>
        <v>10500</v>
      </c>
      <c r="H26" s="138">
        <f t="shared" ref="H26" si="2">G26/20*6</f>
        <v>3150</v>
      </c>
      <c r="I26" s="158" t="s">
        <v>181</v>
      </c>
      <c r="J26" s="132"/>
      <c r="K26" s="132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s="5" customFormat="1" ht="21">
      <c r="A27" s="25" t="s">
        <v>78</v>
      </c>
      <c r="B27" s="21" t="s">
        <v>41</v>
      </c>
      <c r="C27" s="20" t="s">
        <v>107</v>
      </c>
      <c r="D27" s="45" t="s">
        <v>22</v>
      </c>
      <c r="E27" s="64">
        <v>1</v>
      </c>
      <c r="F27" s="69">
        <v>680</v>
      </c>
      <c r="G27" s="70">
        <f t="shared" si="0"/>
        <v>680</v>
      </c>
      <c r="H27" s="139">
        <v>680</v>
      </c>
      <c r="I27" s="132"/>
      <c r="J27" s="132"/>
      <c r="K27" s="132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s="5" customFormat="1" ht="21">
      <c r="A28" s="25" t="s">
        <v>79</v>
      </c>
      <c r="B28" s="21" t="s">
        <v>42</v>
      </c>
      <c r="C28" s="20" t="s">
        <v>43</v>
      </c>
      <c r="D28" s="45" t="s">
        <v>22</v>
      </c>
      <c r="E28" s="64">
        <v>8</v>
      </c>
      <c r="F28" s="69">
        <v>950</v>
      </c>
      <c r="G28" s="70">
        <f t="shared" si="0"/>
        <v>7600</v>
      </c>
      <c r="H28" s="138">
        <f t="shared" ref="H28:H29" si="3">G28/20*6</f>
        <v>2280</v>
      </c>
      <c r="I28" s="158" t="s">
        <v>181</v>
      </c>
      <c r="J28" s="132"/>
      <c r="K28" s="132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s="5" customFormat="1" ht="21">
      <c r="A29" s="40" t="s">
        <v>80</v>
      </c>
      <c r="B29" s="20" t="s">
        <v>44</v>
      </c>
      <c r="C29" s="20" t="s">
        <v>45</v>
      </c>
      <c r="D29" s="45" t="s">
        <v>22</v>
      </c>
      <c r="E29" s="64">
        <v>30</v>
      </c>
      <c r="F29" s="69">
        <v>90</v>
      </c>
      <c r="G29" s="70">
        <f t="shared" si="0"/>
        <v>2700</v>
      </c>
      <c r="H29" s="138">
        <f t="shared" si="3"/>
        <v>810</v>
      </c>
      <c r="I29" s="158" t="s">
        <v>181</v>
      </c>
      <c r="J29" s="132"/>
      <c r="K29" s="132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s="5" customFormat="1" ht="22" thickBot="1">
      <c r="A30" s="108" t="s">
        <v>138</v>
      </c>
      <c r="B30" s="109" t="s">
        <v>139</v>
      </c>
      <c r="C30" s="109" t="s">
        <v>140</v>
      </c>
      <c r="D30" s="110" t="s">
        <v>22</v>
      </c>
      <c r="E30" s="111">
        <v>1</v>
      </c>
      <c r="F30" s="112">
        <v>7000</v>
      </c>
      <c r="G30" s="113">
        <f t="shared" si="0"/>
        <v>7000</v>
      </c>
      <c r="H30" s="172"/>
      <c r="I30" s="132"/>
      <c r="J30" s="132"/>
      <c r="K30" s="132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s="5" customFormat="1" ht="23" thickTop="1" thickBot="1">
      <c r="A31" s="206" t="s">
        <v>81</v>
      </c>
      <c r="B31" s="201"/>
      <c r="C31" s="202"/>
      <c r="D31" s="202"/>
      <c r="E31" s="202"/>
      <c r="F31" s="202"/>
      <c r="G31" s="203"/>
      <c r="H31" s="139"/>
      <c r="I31" s="132"/>
      <c r="J31" s="132"/>
      <c r="K31" s="132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s="5" customFormat="1" ht="22" thickTop="1">
      <c r="A32" s="79" t="s">
        <v>82</v>
      </c>
      <c r="B32" s="80" t="s">
        <v>46</v>
      </c>
      <c r="C32" s="81" t="s">
        <v>47</v>
      </c>
      <c r="D32" s="82" t="s">
        <v>22</v>
      </c>
      <c r="E32" s="84">
        <v>1</v>
      </c>
      <c r="F32" s="83">
        <v>3600</v>
      </c>
      <c r="G32" s="85">
        <f t="shared" ref="G32:G35" si="4">SUM(E32*F32)</f>
        <v>3600</v>
      </c>
      <c r="H32" s="139">
        <v>3600</v>
      </c>
      <c r="I32" s="132"/>
      <c r="J32" s="132"/>
      <c r="K32" s="132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s="5" customFormat="1" ht="38">
      <c r="A33" s="86" t="s">
        <v>83</v>
      </c>
      <c r="B33" s="87" t="s">
        <v>136</v>
      </c>
      <c r="C33" s="88" t="s">
        <v>137</v>
      </c>
      <c r="D33" s="89" t="s">
        <v>22</v>
      </c>
      <c r="E33" s="77">
        <v>6.5</v>
      </c>
      <c r="F33" s="90">
        <v>2800</v>
      </c>
      <c r="G33" s="78">
        <f t="shared" si="4"/>
        <v>18200</v>
      </c>
      <c r="H33" s="139">
        <v>18200</v>
      </c>
      <c r="I33" s="132"/>
      <c r="J33" s="132"/>
      <c r="K33" s="132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s="5" customFormat="1" ht="21">
      <c r="A34" s="91" t="s">
        <v>133</v>
      </c>
      <c r="B34" s="72" t="s">
        <v>48</v>
      </c>
      <c r="C34" s="73" t="s">
        <v>150</v>
      </c>
      <c r="D34" s="74" t="s">
        <v>22</v>
      </c>
      <c r="E34" s="75">
        <v>1</v>
      </c>
      <c r="F34" s="90">
        <v>10900</v>
      </c>
      <c r="G34" s="78">
        <f t="shared" si="4"/>
        <v>10900</v>
      </c>
      <c r="H34" s="139">
        <v>10900</v>
      </c>
      <c r="I34" s="132"/>
      <c r="J34" s="132"/>
      <c r="K34" s="132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s="5" customFormat="1" ht="21">
      <c r="A35" s="48" t="s">
        <v>134</v>
      </c>
      <c r="B35" s="21" t="s">
        <v>49</v>
      </c>
      <c r="C35" s="20" t="s">
        <v>50</v>
      </c>
      <c r="D35" s="45" t="s">
        <v>17</v>
      </c>
      <c r="E35" s="64">
        <v>180</v>
      </c>
      <c r="F35" s="69">
        <v>150</v>
      </c>
      <c r="G35" s="70">
        <f t="shared" si="4"/>
        <v>27000</v>
      </c>
      <c r="H35" s="139">
        <v>27000</v>
      </c>
      <c r="I35" s="132"/>
      <c r="J35" s="132"/>
      <c r="K35" s="132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s="5" customFormat="1" ht="22" thickBot="1">
      <c r="A36" s="49" t="s">
        <v>135</v>
      </c>
      <c r="B36" s="30" t="s">
        <v>51</v>
      </c>
      <c r="C36" s="31" t="s">
        <v>52</v>
      </c>
      <c r="D36" s="44" t="s">
        <v>22</v>
      </c>
      <c r="E36" s="58">
        <v>2</v>
      </c>
      <c r="F36" s="59">
        <v>850</v>
      </c>
      <c r="G36" s="61">
        <f>SUM(E36*F36)</f>
        <v>1700</v>
      </c>
      <c r="H36" s="139">
        <v>1700</v>
      </c>
      <c r="I36" s="132"/>
      <c r="J36" s="132"/>
      <c r="K36" s="132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s="5" customFormat="1" ht="23" thickTop="1" thickBot="1">
      <c r="A37" s="206" t="s">
        <v>92</v>
      </c>
      <c r="B37" s="201"/>
      <c r="C37" s="33"/>
      <c r="D37" s="34"/>
      <c r="E37" s="35"/>
      <c r="F37" s="36"/>
      <c r="G37" s="37"/>
      <c r="H37" s="139"/>
      <c r="I37" s="132"/>
      <c r="J37" s="132"/>
      <c r="K37" s="132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s="5" customFormat="1" ht="22" thickTop="1">
      <c r="A38" s="26" t="s">
        <v>84</v>
      </c>
      <c r="B38" s="32" t="s">
        <v>53</v>
      </c>
      <c r="C38" s="28" t="s">
        <v>54</v>
      </c>
      <c r="D38" s="43" t="s">
        <v>22</v>
      </c>
      <c r="E38" s="56">
        <v>1</v>
      </c>
      <c r="F38" s="62">
        <v>1300</v>
      </c>
      <c r="G38" s="63">
        <f t="shared" ref="G38:G44" si="5">SUM(E38*F38)</f>
        <v>1300</v>
      </c>
      <c r="H38" s="139">
        <v>1300</v>
      </c>
      <c r="I38" s="132"/>
      <c r="J38" s="132"/>
      <c r="K38" s="132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s="5" customFormat="1" ht="21">
      <c r="A39" s="25" t="s">
        <v>85</v>
      </c>
      <c r="B39" s="21" t="s">
        <v>55</v>
      </c>
      <c r="C39" s="20" t="s">
        <v>56</v>
      </c>
      <c r="D39" s="45" t="s">
        <v>22</v>
      </c>
      <c r="E39" s="64">
        <v>1</v>
      </c>
      <c r="F39" s="65">
        <v>4800</v>
      </c>
      <c r="G39" s="66">
        <f t="shared" si="5"/>
        <v>4800</v>
      </c>
      <c r="H39" s="139">
        <v>4800</v>
      </c>
      <c r="I39" s="132"/>
      <c r="J39" s="132"/>
      <c r="K39" s="132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s="5" customFormat="1" ht="21">
      <c r="A40" s="25" t="s">
        <v>94</v>
      </c>
      <c r="B40" s="21" t="s">
        <v>57</v>
      </c>
      <c r="C40" s="20" t="s">
        <v>58</v>
      </c>
      <c r="D40" s="45" t="s">
        <v>22</v>
      </c>
      <c r="E40" s="64">
        <v>3</v>
      </c>
      <c r="F40" s="65">
        <v>1900</v>
      </c>
      <c r="G40" s="66">
        <f t="shared" si="5"/>
        <v>5700</v>
      </c>
      <c r="H40" s="139">
        <v>5700</v>
      </c>
      <c r="I40" s="132"/>
      <c r="J40" s="132"/>
      <c r="K40" s="132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s="5" customFormat="1" ht="21">
      <c r="A41" s="25" t="s">
        <v>95</v>
      </c>
      <c r="B41" s="21" t="s">
        <v>48</v>
      </c>
      <c r="C41" s="20" t="s">
        <v>59</v>
      </c>
      <c r="D41" s="45" t="s">
        <v>22</v>
      </c>
      <c r="E41" s="64">
        <v>1</v>
      </c>
      <c r="F41" s="65">
        <v>9540</v>
      </c>
      <c r="G41" s="66">
        <f t="shared" si="5"/>
        <v>9540</v>
      </c>
      <c r="H41" s="139">
        <v>9540</v>
      </c>
      <c r="I41" s="132"/>
      <c r="J41" s="132"/>
      <c r="K41" s="132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>
      <c r="A42" s="25" t="s">
        <v>96</v>
      </c>
      <c r="B42" s="21" t="s">
        <v>49</v>
      </c>
      <c r="C42" s="20" t="s">
        <v>60</v>
      </c>
      <c r="D42" s="45" t="s">
        <v>17</v>
      </c>
      <c r="E42" s="64">
        <v>278</v>
      </c>
      <c r="F42" s="65">
        <v>150</v>
      </c>
      <c r="G42" s="66">
        <f t="shared" si="5"/>
        <v>41700</v>
      </c>
      <c r="H42" s="139">
        <v>41700</v>
      </c>
    </row>
    <row r="43" spans="1:26" ht="95">
      <c r="A43" s="25" t="s">
        <v>97</v>
      </c>
      <c r="B43" s="20" t="s">
        <v>121</v>
      </c>
      <c r="C43" s="20" t="s">
        <v>122</v>
      </c>
      <c r="D43" s="45" t="s">
        <v>22</v>
      </c>
      <c r="E43" s="64">
        <v>1</v>
      </c>
      <c r="F43" s="65">
        <v>17500</v>
      </c>
      <c r="G43" s="66">
        <f t="shared" si="5"/>
        <v>17500</v>
      </c>
      <c r="H43" s="139">
        <v>17500</v>
      </c>
    </row>
    <row r="44" spans="1:26" ht="22" thickBot="1">
      <c r="A44" s="29" t="s">
        <v>98</v>
      </c>
      <c r="B44" s="46" t="s">
        <v>61</v>
      </c>
      <c r="C44" s="31" t="s">
        <v>62</v>
      </c>
      <c r="D44" s="44" t="s">
        <v>22</v>
      </c>
      <c r="E44" s="58">
        <v>22</v>
      </c>
      <c r="F44" s="67">
        <v>260</v>
      </c>
      <c r="G44" s="68">
        <f t="shared" si="5"/>
        <v>5720</v>
      </c>
      <c r="H44" s="139">
        <v>5720</v>
      </c>
    </row>
    <row r="45" spans="1:26" ht="23" thickTop="1" thickBot="1">
      <c r="A45" s="200" t="s">
        <v>93</v>
      </c>
      <c r="B45" s="201"/>
      <c r="C45" s="202"/>
      <c r="D45" s="202"/>
      <c r="E45" s="202"/>
      <c r="F45" s="202"/>
      <c r="G45" s="203"/>
      <c r="H45" s="139"/>
    </row>
    <row r="46" spans="1:26" ht="77" thickTop="1">
      <c r="A46" s="114" t="s">
        <v>86</v>
      </c>
      <c r="B46" s="115" t="s">
        <v>63</v>
      </c>
      <c r="C46" s="116" t="s">
        <v>108</v>
      </c>
      <c r="D46" s="117" t="s">
        <v>22</v>
      </c>
      <c r="E46" s="118">
        <v>6</v>
      </c>
      <c r="F46" s="119">
        <v>19500</v>
      </c>
      <c r="G46" s="120">
        <f t="shared" ref="G46:G47" si="6">SUM(E46*F46)</f>
        <v>117000</v>
      </c>
      <c r="H46" s="172"/>
    </row>
    <row r="47" spans="1:26" ht="77" thickBot="1">
      <c r="A47" s="121" t="s">
        <v>87</v>
      </c>
      <c r="B47" s="122" t="s">
        <v>64</v>
      </c>
      <c r="C47" s="123" t="s">
        <v>130</v>
      </c>
      <c r="D47" s="124" t="s">
        <v>22</v>
      </c>
      <c r="E47" s="125">
        <v>4</v>
      </c>
      <c r="F47" s="112">
        <v>37000</v>
      </c>
      <c r="G47" s="113">
        <f t="shared" si="6"/>
        <v>148000</v>
      </c>
      <c r="H47" s="172"/>
    </row>
    <row r="48" spans="1:26" ht="23" thickTop="1" thickBot="1">
      <c r="A48" s="207" t="s">
        <v>118</v>
      </c>
      <c r="B48" s="208"/>
      <c r="C48" s="209"/>
      <c r="D48" s="209"/>
      <c r="E48" s="209"/>
      <c r="F48" s="209"/>
      <c r="G48" s="210"/>
      <c r="H48" s="139"/>
    </row>
    <row r="49" spans="1:9" ht="22" thickTop="1">
      <c r="A49" s="26" t="s">
        <v>99</v>
      </c>
      <c r="B49" s="28" t="s">
        <v>131</v>
      </c>
      <c r="C49" s="28" t="s">
        <v>132</v>
      </c>
      <c r="D49" s="43" t="s">
        <v>22</v>
      </c>
      <c r="E49" s="56">
        <v>1</v>
      </c>
      <c r="F49" s="57">
        <v>12000</v>
      </c>
      <c r="G49" s="52">
        <f>E49*F49</f>
        <v>12000</v>
      </c>
      <c r="H49" s="139">
        <v>12000</v>
      </c>
    </row>
    <row r="50" spans="1:9" ht="118.5" customHeight="1" thickBot="1">
      <c r="A50" s="126" t="s">
        <v>100</v>
      </c>
      <c r="B50" s="123" t="s">
        <v>119</v>
      </c>
      <c r="C50" s="123" t="s">
        <v>120</v>
      </c>
      <c r="D50" s="124" t="s">
        <v>14</v>
      </c>
      <c r="E50" s="125">
        <v>4</v>
      </c>
      <c r="F50" s="127">
        <v>12500</v>
      </c>
      <c r="G50" s="128">
        <f>E50*F50</f>
        <v>50000</v>
      </c>
      <c r="H50" s="172"/>
      <c r="I50" s="181" t="s">
        <v>183</v>
      </c>
    </row>
    <row r="51" spans="1:9" ht="25" thickTop="1" thickBot="1">
      <c r="A51" s="204" t="s">
        <v>102</v>
      </c>
      <c r="B51" s="205"/>
      <c r="C51" s="202"/>
      <c r="D51" s="202"/>
      <c r="E51" s="202"/>
      <c r="F51" s="202"/>
      <c r="G51" s="203"/>
      <c r="H51" s="139"/>
      <c r="I51" s="158" t="s">
        <v>181</v>
      </c>
    </row>
    <row r="52" spans="1:9" ht="23" thickTop="1">
      <c r="A52" s="26" t="s">
        <v>103</v>
      </c>
      <c r="B52" s="38" t="s">
        <v>142</v>
      </c>
      <c r="C52" s="39" t="s">
        <v>143</v>
      </c>
      <c r="D52" s="41" t="s">
        <v>116</v>
      </c>
      <c r="E52" s="50">
        <v>1</v>
      </c>
      <c r="F52" s="51">
        <v>100000</v>
      </c>
      <c r="G52" s="52">
        <f>F52*E52</f>
        <v>100000</v>
      </c>
      <c r="H52" s="139">
        <v>100000</v>
      </c>
      <c r="I52" s="158" t="s">
        <v>181</v>
      </c>
    </row>
    <row r="53" spans="1:9" ht="22">
      <c r="A53" s="40" t="s">
        <v>104</v>
      </c>
      <c r="B53" s="6" t="s">
        <v>88</v>
      </c>
      <c r="C53" s="22" t="s">
        <v>123</v>
      </c>
      <c r="D53" s="42" t="s">
        <v>91</v>
      </c>
      <c r="E53" s="53">
        <v>1</v>
      </c>
      <c r="F53" s="54">
        <v>150000</v>
      </c>
      <c r="G53" s="55">
        <f>SUM(E53*F53)</f>
        <v>150000</v>
      </c>
      <c r="H53" s="139">
        <v>150000</v>
      </c>
    </row>
    <row r="54" spans="1:9" ht="22">
      <c r="A54" s="159" t="s">
        <v>105</v>
      </c>
      <c r="B54" s="160" t="s">
        <v>89</v>
      </c>
      <c r="C54" s="161" t="s">
        <v>184</v>
      </c>
      <c r="D54" s="162" t="s">
        <v>91</v>
      </c>
      <c r="E54" s="163">
        <v>1</v>
      </c>
      <c r="F54" s="164">
        <v>270000</v>
      </c>
      <c r="G54" s="165">
        <f>SUM(E54*F54)</f>
        <v>270000</v>
      </c>
      <c r="H54" s="139">
        <v>270000</v>
      </c>
    </row>
    <row r="55" spans="1:9" ht="22">
      <c r="A55" s="40" t="s">
        <v>106</v>
      </c>
      <c r="B55" s="6" t="s">
        <v>110</v>
      </c>
      <c r="C55" s="22" t="s">
        <v>112</v>
      </c>
      <c r="D55" s="42" t="s">
        <v>91</v>
      </c>
      <c r="E55" s="53">
        <v>1</v>
      </c>
      <c r="F55" s="54">
        <v>16000</v>
      </c>
      <c r="G55" s="55">
        <f>SUM(E55*F55)</f>
        <v>16000</v>
      </c>
      <c r="H55" s="138">
        <f t="shared" ref="H55:H56" si="7">G55/20*6</f>
        <v>4800</v>
      </c>
    </row>
    <row r="56" spans="1:9" ht="22">
      <c r="A56" s="159" t="s">
        <v>111</v>
      </c>
      <c r="B56" s="160" t="s">
        <v>114</v>
      </c>
      <c r="C56" s="161" t="s">
        <v>185</v>
      </c>
      <c r="D56" s="162" t="s">
        <v>14</v>
      </c>
      <c r="E56" s="163">
        <v>70</v>
      </c>
      <c r="F56" s="164">
        <v>900</v>
      </c>
      <c r="G56" s="165">
        <f t="shared" ref="G56:G58" si="8">SUM(E56*F56)</f>
        <v>63000</v>
      </c>
      <c r="H56" s="138">
        <f t="shared" si="7"/>
        <v>18900</v>
      </c>
    </row>
    <row r="57" spans="1:9" ht="110">
      <c r="A57" s="40" t="s">
        <v>113</v>
      </c>
      <c r="B57" s="6" t="s">
        <v>90</v>
      </c>
      <c r="C57" s="22" t="s">
        <v>117</v>
      </c>
      <c r="D57" s="42" t="s">
        <v>14</v>
      </c>
      <c r="E57" s="53">
        <v>1</v>
      </c>
      <c r="F57" s="54">
        <v>5219</v>
      </c>
      <c r="G57" s="55">
        <f t="shared" si="8"/>
        <v>5219</v>
      </c>
      <c r="H57" s="139">
        <v>5219</v>
      </c>
    </row>
    <row r="58" spans="1:9" ht="23" thickBot="1">
      <c r="A58" s="92" t="s">
        <v>145</v>
      </c>
      <c r="B58" s="93" t="s">
        <v>141</v>
      </c>
      <c r="C58" s="94" t="s">
        <v>144</v>
      </c>
      <c r="D58" s="95" t="s">
        <v>14</v>
      </c>
      <c r="E58" s="96">
        <v>1</v>
      </c>
      <c r="F58" s="97">
        <v>100000</v>
      </c>
      <c r="G58" s="98">
        <f t="shared" si="8"/>
        <v>100000</v>
      </c>
      <c r="H58" s="139">
        <v>100000</v>
      </c>
      <c r="I58" s="168" t="s">
        <v>186</v>
      </c>
    </row>
    <row r="59" spans="1:9" ht="23" thickTop="1">
      <c r="A59" s="5"/>
      <c r="B59" s="5"/>
      <c r="E59" s="7" t="s">
        <v>9</v>
      </c>
      <c r="F59" s="199">
        <f>SUM(G15:G53,G55,G57,G58)</f>
        <v>1234359</v>
      </c>
      <c r="G59" s="199"/>
      <c r="H59" s="136">
        <f>SUM(H15:H53,H55,H57:H58)</f>
        <v>835534</v>
      </c>
    </row>
    <row r="60" spans="1:9" ht="22">
      <c r="E60" s="7" t="s">
        <v>10</v>
      </c>
      <c r="F60" s="199">
        <f>F59*0.05</f>
        <v>61717.950000000004</v>
      </c>
      <c r="G60" s="199"/>
      <c r="H60" s="166">
        <f>H59*0.05</f>
        <v>41776.700000000004</v>
      </c>
    </row>
    <row r="61" spans="1:9" ht="21">
      <c r="E61" s="7"/>
      <c r="F61" s="104"/>
      <c r="G61" s="104"/>
      <c r="H61" s="132"/>
    </row>
    <row r="62" spans="1:9" ht="23" thickBot="1">
      <c r="E62" s="8" t="s">
        <v>11</v>
      </c>
      <c r="F62" s="191">
        <f>SUM(F59:G60,G54,G56)</f>
        <v>1629076.95</v>
      </c>
      <c r="G62" s="191"/>
      <c r="H62" s="137">
        <f>SUM(H59:H60,H54,H56)</f>
        <v>1166210.7</v>
      </c>
    </row>
    <row r="63" spans="1:9" ht="17" thickTop="1"/>
    <row r="64" spans="1:9" ht="17" thickBot="1">
      <c r="H64" s="157"/>
    </row>
    <row r="65" spans="1:7" ht="25" thickTop="1" thickBot="1">
      <c r="D65" s="192" t="s">
        <v>12</v>
      </c>
      <c r="E65" s="193"/>
      <c r="F65" s="193"/>
      <c r="G65" s="194"/>
    </row>
    <row r="66" spans="1:7" ht="19" thickTop="1">
      <c r="A66" s="47" t="s">
        <v>128</v>
      </c>
      <c r="B66" s="47"/>
      <c r="C66" s="47"/>
      <c r="D66" s="9"/>
      <c r="G66" s="10"/>
    </row>
    <row r="67" spans="1:7" ht="18">
      <c r="A67" s="47" t="s">
        <v>124</v>
      </c>
      <c r="B67" s="47"/>
      <c r="C67" s="47"/>
      <c r="D67" s="9"/>
      <c r="G67" s="10"/>
    </row>
    <row r="68" spans="1:7" ht="18">
      <c r="A68" s="47" t="s">
        <v>125</v>
      </c>
      <c r="B68" s="47"/>
      <c r="C68" s="47"/>
      <c r="D68" s="9"/>
      <c r="G68" s="10"/>
    </row>
    <row r="69" spans="1:7" ht="18">
      <c r="A69" s="47" t="s">
        <v>126</v>
      </c>
      <c r="B69" s="47"/>
      <c r="C69" s="47"/>
      <c r="D69" s="9"/>
      <c r="G69" s="10"/>
    </row>
    <row r="70" spans="1:7" ht="18">
      <c r="A70" s="47" t="s">
        <v>127</v>
      </c>
      <c r="B70" s="47"/>
      <c r="C70" s="47"/>
      <c r="D70" s="9"/>
      <c r="G70" s="10"/>
    </row>
    <row r="71" spans="1:7" ht="24" thickBot="1">
      <c r="A71" s="47" t="s">
        <v>129</v>
      </c>
      <c r="B71" s="47"/>
      <c r="C71" s="47"/>
      <c r="D71" s="11" t="s">
        <v>13</v>
      </c>
      <c r="E71" s="12"/>
      <c r="F71" s="13"/>
      <c r="G71" s="14"/>
    </row>
    <row r="72" spans="1:7" ht="17" thickTop="1"/>
  </sheetData>
  <mergeCells count="18">
    <mergeCell ref="D65:G65"/>
    <mergeCell ref="Q13:Q14"/>
    <mergeCell ref="A14:G14"/>
    <mergeCell ref="L16:L22"/>
    <mergeCell ref="A31:G31"/>
    <mergeCell ref="A37:B37"/>
    <mergeCell ref="A45:G45"/>
    <mergeCell ref="P13:P14"/>
    <mergeCell ref="A48:G48"/>
    <mergeCell ref="A51:G51"/>
    <mergeCell ref="F59:G59"/>
    <mergeCell ref="F60:G60"/>
    <mergeCell ref="F62:G62"/>
    <mergeCell ref="A7:G7"/>
    <mergeCell ref="A9:G9"/>
    <mergeCell ref="L13:M14"/>
    <mergeCell ref="N13:N14"/>
    <mergeCell ref="O13:O14"/>
  </mergeCells>
  <phoneticPr fontId="3" type="noConversion"/>
  <printOptions horizontalCentered="1"/>
  <pageMargins left="0" right="0" top="0" bottom="0" header="0.31496062992125984" footer="0.31496062992125984"/>
  <pageSetup paperSize="9" scale="46" fitToWidth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97481-63A3-284B-BDB9-8B092900290B}">
  <dimension ref="A1:B101"/>
  <sheetViews>
    <sheetView tabSelected="1" workbookViewId="0">
      <selection activeCell="F9" sqref="F9"/>
    </sheetView>
  </sheetViews>
  <sheetFormatPr baseColWidth="10" defaultRowHeight="15"/>
  <cols>
    <col min="1" max="1" width="15.33203125" customWidth="1"/>
    <col min="2" max="2" width="27.1640625" customWidth="1"/>
  </cols>
  <sheetData>
    <row r="1" spans="1:2">
      <c r="A1" s="220" t="s">
        <v>199</v>
      </c>
      <c r="B1" s="220" t="s">
        <v>200</v>
      </c>
    </row>
    <row r="2" spans="1:2">
      <c r="A2" t="s">
        <v>201</v>
      </c>
      <c r="B2" t="s">
        <v>202</v>
      </c>
    </row>
    <row r="3" spans="1:2">
      <c r="A3" t="s">
        <v>203</v>
      </c>
      <c r="B3" t="s">
        <v>204</v>
      </c>
    </row>
    <row r="4" spans="1:2">
      <c r="A4" t="s">
        <v>205</v>
      </c>
      <c r="B4" t="s">
        <v>206</v>
      </c>
    </row>
    <row r="5" spans="1:2">
      <c r="A5" t="s">
        <v>207</v>
      </c>
      <c r="B5" t="s">
        <v>208</v>
      </c>
    </row>
    <row r="6" spans="1:2">
      <c r="A6" t="s">
        <v>209</v>
      </c>
      <c r="B6" t="s">
        <v>210</v>
      </c>
    </row>
    <row r="7" spans="1:2">
      <c r="A7" t="s">
        <v>211</v>
      </c>
      <c r="B7" t="s">
        <v>212</v>
      </c>
    </row>
    <row r="8" spans="1:2">
      <c r="A8" t="s">
        <v>213</v>
      </c>
      <c r="B8" t="s">
        <v>214</v>
      </c>
    </row>
    <row r="9" spans="1:2">
      <c r="A9" t="s">
        <v>215</v>
      </c>
      <c r="B9" t="s">
        <v>216</v>
      </c>
    </row>
    <row r="10" spans="1:2">
      <c r="A10" t="s">
        <v>217</v>
      </c>
      <c r="B10" t="s">
        <v>218</v>
      </c>
    </row>
    <row r="11" spans="1:2">
      <c r="A11" t="s">
        <v>219</v>
      </c>
      <c r="B11" t="s">
        <v>220</v>
      </c>
    </row>
    <row r="12" spans="1:2">
      <c r="A12" t="s">
        <v>221</v>
      </c>
      <c r="B12" t="s">
        <v>222</v>
      </c>
    </row>
    <row r="13" spans="1:2">
      <c r="A13" t="s">
        <v>223</v>
      </c>
      <c r="B13" t="s">
        <v>224</v>
      </c>
    </row>
    <row r="14" spans="1:2">
      <c r="A14" t="s">
        <v>225</v>
      </c>
      <c r="B14" t="s">
        <v>226</v>
      </c>
    </row>
    <row r="15" spans="1:2">
      <c r="A15" t="s">
        <v>227</v>
      </c>
      <c r="B15" t="s">
        <v>228</v>
      </c>
    </row>
    <row r="16" spans="1:2">
      <c r="A16" t="s">
        <v>229</v>
      </c>
      <c r="B16" t="s">
        <v>230</v>
      </c>
    </row>
    <row r="17" spans="1:2">
      <c r="A17" t="s">
        <v>231</v>
      </c>
      <c r="B17" t="s">
        <v>232</v>
      </c>
    </row>
    <row r="18" spans="1:2">
      <c r="A18" t="s">
        <v>233</v>
      </c>
      <c r="B18" t="s">
        <v>234</v>
      </c>
    </row>
    <row r="19" spans="1:2">
      <c r="A19" t="s">
        <v>235</v>
      </c>
      <c r="B19" t="s">
        <v>236</v>
      </c>
    </row>
    <row r="20" spans="1:2">
      <c r="A20" t="s">
        <v>237</v>
      </c>
      <c r="B20" t="s">
        <v>238</v>
      </c>
    </row>
    <row r="21" spans="1:2">
      <c r="A21" t="s">
        <v>239</v>
      </c>
      <c r="B21" t="s">
        <v>240</v>
      </c>
    </row>
    <row r="22" spans="1:2">
      <c r="A22" t="s">
        <v>241</v>
      </c>
      <c r="B22" t="s">
        <v>242</v>
      </c>
    </row>
    <row r="23" spans="1:2">
      <c r="A23" t="s">
        <v>243</v>
      </c>
      <c r="B23" t="s">
        <v>244</v>
      </c>
    </row>
    <row r="24" spans="1:2">
      <c r="A24" t="s">
        <v>245</v>
      </c>
      <c r="B24" t="s">
        <v>246</v>
      </c>
    </row>
    <row r="25" spans="1:2">
      <c r="A25" t="s">
        <v>247</v>
      </c>
      <c r="B25" t="s">
        <v>248</v>
      </c>
    </row>
    <row r="26" spans="1:2">
      <c r="A26" t="s">
        <v>249</v>
      </c>
      <c r="B26" t="s">
        <v>250</v>
      </c>
    </row>
    <row r="27" spans="1:2">
      <c r="A27" t="s">
        <v>251</v>
      </c>
      <c r="B27" t="s">
        <v>252</v>
      </c>
    </row>
    <row r="28" spans="1:2">
      <c r="A28" t="s">
        <v>253</v>
      </c>
      <c r="B28" t="s">
        <v>254</v>
      </c>
    </row>
    <row r="29" spans="1:2">
      <c r="A29" t="s">
        <v>255</v>
      </c>
      <c r="B29" t="s">
        <v>256</v>
      </c>
    </row>
    <row r="30" spans="1:2">
      <c r="A30" t="s">
        <v>257</v>
      </c>
      <c r="B30" t="s">
        <v>258</v>
      </c>
    </row>
    <row r="31" spans="1:2">
      <c r="A31" t="s">
        <v>259</v>
      </c>
      <c r="B31" t="s">
        <v>260</v>
      </c>
    </row>
    <row r="32" spans="1:2">
      <c r="A32" t="s">
        <v>261</v>
      </c>
      <c r="B32" t="s">
        <v>262</v>
      </c>
    </row>
    <row r="33" spans="1:2">
      <c r="A33" t="s">
        <v>263</v>
      </c>
      <c r="B33" t="s">
        <v>264</v>
      </c>
    </row>
    <row r="34" spans="1:2">
      <c r="A34" t="s">
        <v>265</v>
      </c>
      <c r="B34" t="s">
        <v>266</v>
      </c>
    </row>
    <row r="35" spans="1:2">
      <c r="A35" t="s">
        <v>267</v>
      </c>
      <c r="B35" t="s">
        <v>268</v>
      </c>
    </row>
    <row r="36" spans="1:2">
      <c r="A36" t="s">
        <v>269</v>
      </c>
      <c r="B36" t="s">
        <v>270</v>
      </c>
    </row>
    <row r="37" spans="1:2">
      <c r="A37" t="s">
        <v>271</v>
      </c>
      <c r="B37" t="s">
        <v>272</v>
      </c>
    </row>
    <row r="38" spans="1:2">
      <c r="A38" t="s">
        <v>273</v>
      </c>
      <c r="B38" t="s">
        <v>274</v>
      </c>
    </row>
    <row r="39" spans="1:2">
      <c r="A39" t="s">
        <v>275</v>
      </c>
      <c r="B39" t="s">
        <v>276</v>
      </c>
    </row>
    <row r="40" spans="1:2">
      <c r="A40" t="s">
        <v>277</v>
      </c>
      <c r="B40" t="s">
        <v>278</v>
      </c>
    </row>
    <row r="41" spans="1:2">
      <c r="A41" t="s">
        <v>279</v>
      </c>
      <c r="B41" t="s">
        <v>280</v>
      </c>
    </row>
    <row r="42" spans="1:2">
      <c r="A42" t="s">
        <v>281</v>
      </c>
      <c r="B42" t="s">
        <v>282</v>
      </c>
    </row>
    <row r="43" spans="1:2">
      <c r="A43" t="s">
        <v>283</v>
      </c>
      <c r="B43" t="s">
        <v>284</v>
      </c>
    </row>
    <row r="44" spans="1:2">
      <c r="A44" t="s">
        <v>285</v>
      </c>
      <c r="B44" t="s">
        <v>286</v>
      </c>
    </row>
    <row r="45" spans="1:2">
      <c r="A45" t="s">
        <v>287</v>
      </c>
      <c r="B45" t="s">
        <v>288</v>
      </c>
    </row>
    <row r="46" spans="1:2">
      <c r="A46" t="s">
        <v>289</v>
      </c>
      <c r="B46" t="s">
        <v>290</v>
      </c>
    </row>
    <row r="47" spans="1:2">
      <c r="A47" t="s">
        <v>291</v>
      </c>
      <c r="B47" t="s">
        <v>292</v>
      </c>
    </row>
    <row r="48" spans="1:2">
      <c r="A48" t="s">
        <v>293</v>
      </c>
      <c r="B48" t="s">
        <v>294</v>
      </c>
    </row>
    <row r="49" spans="1:2">
      <c r="A49" t="s">
        <v>295</v>
      </c>
      <c r="B49" t="s">
        <v>296</v>
      </c>
    </row>
    <row r="50" spans="1:2">
      <c r="A50" t="s">
        <v>297</v>
      </c>
      <c r="B50" t="s">
        <v>298</v>
      </c>
    </row>
    <row r="51" spans="1:2">
      <c r="A51" t="s">
        <v>299</v>
      </c>
      <c r="B51" t="s">
        <v>300</v>
      </c>
    </row>
    <row r="52" spans="1:2">
      <c r="A52" t="s">
        <v>301</v>
      </c>
      <c r="B52" t="s">
        <v>302</v>
      </c>
    </row>
    <row r="53" spans="1:2">
      <c r="A53" t="s">
        <v>303</v>
      </c>
      <c r="B53" t="s">
        <v>304</v>
      </c>
    </row>
    <row r="54" spans="1:2">
      <c r="A54" t="s">
        <v>305</v>
      </c>
      <c r="B54" t="s">
        <v>306</v>
      </c>
    </row>
    <row r="55" spans="1:2">
      <c r="A55" t="s">
        <v>307</v>
      </c>
      <c r="B55" t="s">
        <v>308</v>
      </c>
    </row>
    <row r="56" spans="1:2">
      <c r="A56" t="s">
        <v>309</v>
      </c>
      <c r="B56" t="s">
        <v>310</v>
      </c>
    </row>
    <row r="57" spans="1:2">
      <c r="A57" t="s">
        <v>311</v>
      </c>
      <c r="B57" t="s">
        <v>312</v>
      </c>
    </row>
    <row r="58" spans="1:2">
      <c r="A58" t="s">
        <v>313</v>
      </c>
      <c r="B58" t="s">
        <v>314</v>
      </c>
    </row>
    <row r="59" spans="1:2">
      <c r="A59" t="s">
        <v>315</v>
      </c>
      <c r="B59" t="s">
        <v>316</v>
      </c>
    </row>
    <row r="60" spans="1:2">
      <c r="A60" t="s">
        <v>317</v>
      </c>
      <c r="B60" t="s">
        <v>318</v>
      </c>
    </row>
    <row r="61" spans="1:2">
      <c r="A61" t="s">
        <v>319</v>
      </c>
      <c r="B61" t="s">
        <v>320</v>
      </c>
    </row>
    <row r="62" spans="1:2">
      <c r="A62" t="s">
        <v>321</v>
      </c>
      <c r="B62" t="s">
        <v>322</v>
      </c>
    </row>
    <row r="63" spans="1:2">
      <c r="A63" t="s">
        <v>323</v>
      </c>
      <c r="B63" t="s">
        <v>324</v>
      </c>
    </row>
    <row r="64" spans="1:2">
      <c r="A64" t="s">
        <v>325</v>
      </c>
      <c r="B64" t="s">
        <v>326</v>
      </c>
    </row>
    <row r="65" spans="1:2">
      <c r="A65" t="s">
        <v>327</v>
      </c>
      <c r="B65" t="s">
        <v>328</v>
      </c>
    </row>
    <row r="66" spans="1:2">
      <c r="A66" t="s">
        <v>329</v>
      </c>
      <c r="B66" t="s">
        <v>330</v>
      </c>
    </row>
    <row r="67" spans="1:2">
      <c r="A67" t="s">
        <v>331</v>
      </c>
      <c r="B67" t="s">
        <v>332</v>
      </c>
    </row>
    <row r="68" spans="1:2">
      <c r="A68" t="s">
        <v>333</v>
      </c>
      <c r="B68" t="s">
        <v>334</v>
      </c>
    </row>
    <row r="69" spans="1:2">
      <c r="A69" t="s">
        <v>335</v>
      </c>
      <c r="B69" t="s">
        <v>336</v>
      </c>
    </row>
    <row r="70" spans="1:2">
      <c r="A70" t="s">
        <v>337</v>
      </c>
      <c r="B70" t="s">
        <v>338</v>
      </c>
    </row>
    <row r="71" spans="1:2">
      <c r="A71" t="s">
        <v>339</v>
      </c>
      <c r="B71" t="s">
        <v>340</v>
      </c>
    </row>
    <row r="72" spans="1:2">
      <c r="A72" t="s">
        <v>341</v>
      </c>
      <c r="B72" t="s">
        <v>342</v>
      </c>
    </row>
    <row r="73" spans="1:2">
      <c r="A73" t="s">
        <v>343</v>
      </c>
      <c r="B73" t="s">
        <v>344</v>
      </c>
    </row>
    <row r="74" spans="1:2">
      <c r="A74" t="s">
        <v>345</v>
      </c>
      <c r="B74" t="s">
        <v>346</v>
      </c>
    </row>
    <row r="75" spans="1:2">
      <c r="A75" t="s">
        <v>347</v>
      </c>
      <c r="B75" t="s">
        <v>348</v>
      </c>
    </row>
    <row r="76" spans="1:2">
      <c r="A76" t="s">
        <v>349</v>
      </c>
      <c r="B76" t="s">
        <v>350</v>
      </c>
    </row>
    <row r="77" spans="1:2">
      <c r="A77" t="s">
        <v>351</v>
      </c>
      <c r="B77" t="s">
        <v>352</v>
      </c>
    </row>
    <row r="78" spans="1:2">
      <c r="A78" t="s">
        <v>353</v>
      </c>
      <c r="B78" t="s">
        <v>354</v>
      </c>
    </row>
    <row r="79" spans="1:2">
      <c r="A79" t="s">
        <v>355</v>
      </c>
      <c r="B79" t="s">
        <v>356</v>
      </c>
    </row>
    <row r="80" spans="1:2">
      <c r="A80" t="s">
        <v>357</v>
      </c>
      <c r="B80" t="s">
        <v>358</v>
      </c>
    </row>
    <row r="81" spans="1:2">
      <c r="A81" t="s">
        <v>359</v>
      </c>
      <c r="B81" t="s">
        <v>360</v>
      </c>
    </row>
    <row r="82" spans="1:2">
      <c r="A82" t="s">
        <v>361</v>
      </c>
      <c r="B82" t="s">
        <v>362</v>
      </c>
    </row>
    <row r="83" spans="1:2">
      <c r="A83" t="s">
        <v>363</v>
      </c>
      <c r="B83" t="s">
        <v>364</v>
      </c>
    </row>
    <row r="84" spans="1:2">
      <c r="A84" t="s">
        <v>365</v>
      </c>
      <c r="B84" t="s">
        <v>366</v>
      </c>
    </row>
    <row r="85" spans="1:2">
      <c r="A85" t="s">
        <v>367</v>
      </c>
      <c r="B85" t="s">
        <v>368</v>
      </c>
    </row>
    <row r="86" spans="1:2">
      <c r="A86" t="s">
        <v>369</v>
      </c>
      <c r="B86" t="s">
        <v>370</v>
      </c>
    </row>
    <row r="87" spans="1:2">
      <c r="A87" t="s">
        <v>371</v>
      </c>
      <c r="B87" t="s">
        <v>372</v>
      </c>
    </row>
    <row r="88" spans="1:2">
      <c r="A88" t="s">
        <v>373</v>
      </c>
      <c r="B88" t="s">
        <v>374</v>
      </c>
    </row>
    <row r="89" spans="1:2">
      <c r="A89" t="s">
        <v>375</v>
      </c>
      <c r="B89" t="s">
        <v>376</v>
      </c>
    </row>
    <row r="90" spans="1:2">
      <c r="A90" t="s">
        <v>377</v>
      </c>
      <c r="B90" t="s">
        <v>378</v>
      </c>
    </row>
    <row r="91" spans="1:2">
      <c r="A91" t="s">
        <v>379</v>
      </c>
      <c r="B91" t="s">
        <v>380</v>
      </c>
    </row>
    <row r="92" spans="1:2">
      <c r="A92" t="s">
        <v>381</v>
      </c>
      <c r="B92" t="s">
        <v>382</v>
      </c>
    </row>
    <row r="93" spans="1:2">
      <c r="A93" t="s">
        <v>383</v>
      </c>
      <c r="B93" t="s">
        <v>384</v>
      </c>
    </row>
    <row r="94" spans="1:2">
      <c r="A94" t="s">
        <v>385</v>
      </c>
      <c r="B94" t="s">
        <v>386</v>
      </c>
    </row>
    <row r="95" spans="1:2">
      <c r="A95" t="s">
        <v>387</v>
      </c>
      <c r="B95" t="s">
        <v>388</v>
      </c>
    </row>
    <row r="96" spans="1:2">
      <c r="A96" t="s">
        <v>389</v>
      </c>
      <c r="B96" t="s">
        <v>390</v>
      </c>
    </row>
    <row r="97" spans="1:2">
      <c r="A97" t="s">
        <v>391</v>
      </c>
      <c r="B97" t="s">
        <v>392</v>
      </c>
    </row>
    <row r="98" spans="1:2">
      <c r="A98" t="s">
        <v>393</v>
      </c>
      <c r="B98" t="s">
        <v>394</v>
      </c>
    </row>
    <row r="99" spans="1:2">
      <c r="A99" t="s">
        <v>395</v>
      </c>
      <c r="B99" t="s">
        <v>396</v>
      </c>
    </row>
    <row r="100" spans="1:2">
      <c r="A100" t="s">
        <v>397</v>
      </c>
      <c r="B100" t="s">
        <v>398</v>
      </c>
    </row>
    <row r="101" spans="1:2">
      <c r="A101" t="s">
        <v>399</v>
      </c>
      <c r="B101" t="s">
        <v>400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總規劃預算</vt:lpstr>
      <vt:lpstr>中醫所(標案)</vt:lpstr>
      <vt:lpstr>聯展成員</vt:lpstr>
      <vt:lpstr>中醫藥司</vt:lpstr>
      <vt:lpstr>0606中醫所(標案)_宛柔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Elite-Gavin</dc:creator>
  <cp:lastModifiedBy>Microsoft Office User</cp:lastModifiedBy>
  <cp:lastPrinted>2025-06-06T06:10:30Z</cp:lastPrinted>
  <dcterms:created xsi:type="dcterms:W3CDTF">2020-08-13T06:53:59Z</dcterms:created>
  <dcterms:modified xsi:type="dcterms:W3CDTF">2025-12-18T01:19:34Z</dcterms:modified>
</cp:coreProperties>
</file>